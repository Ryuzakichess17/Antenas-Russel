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ctor.andagua\Downloads\Entel\GEO_PROYECTO_MAYO\data\"/>
    </mc:Choice>
  </mc:AlternateContent>
  <xr:revisionPtr revIDLastSave="0" documentId="13_ncr:1_{49726BEB-D1C5-42B0-A3C7-A8A2358C13C6}" xr6:coauthVersionLast="47" xr6:coauthVersionMax="47" xr10:uidLastSave="{00000000-0000-0000-0000-000000000000}"/>
  <bookViews>
    <workbookView xWindow="-108" yWindow="-108" windowWidth="23256" windowHeight="12576" xr2:uid="{D5BFDA3D-8796-45C8-82C2-76AA75EB904A}"/>
  </bookViews>
  <sheets>
    <sheet name="Hoja1" sheetId="1" r:id="rId1"/>
  </sheets>
  <definedNames>
    <definedName name="_xlnm._FilterDatabase" localSheetId="0" hidden="1">Hoja1!$A$1:$O$375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5" i="1" l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 l="1"/>
  <c r="D352" i="1"/>
  <c r="D351" i="1"/>
  <c r="D350" i="1"/>
  <c r="D349" i="1"/>
  <c r="D348" i="1"/>
  <c r="D347" i="1"/>
  <c r="D346" i="1"/>
  <c r="D345" i="1"/>
  <c r="D344" i="1"/>
  <c r="D343" i="1"/>
  <c r="D342" i="1" l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<sst xmlns="http://schemas.openxmlformats.org/spreadsheetml/2006/main" count="3756" uniqueCount="655">
  <si>
    <t>N</t>
  </si>
  <si>
    <t>Proyecto</t>
  </si>
  <si>
    <t>Tecnología</t>
  </si>
  <si>
    <t>Fecha de Activación</t>
  </si>
  <si>
    <t>Estado</t>
  </si>
  <si>
    <t>Departamento</t>
  </si>
  <si>
    <t>Provincia</t>
  </si>
  <si>
    <t>Distrito</t>
  </si>
  <si>
    <t>Rollout 2025</t>
  </si>
  <si>
    <t>013256136_LM_MegaPuertoChancay</t>
  </si>
  <si>
    <t>3G/4G</t>
  </si>
  <si>
    <t>ON AIR</t>
  </si>
  <si>
    <t>LIMA</t>
  </si>
  <si>
    <t>HUARAL</t>
  </si>
  <si>
    <t>CHANCAY</t>
  </si>
  <si>
    <t>013252083_LM_Kalua</t>
  </si>
  <si>
    <t>CAÑETE</t>
  </si>
  <si>
    <t>SAN ANTONIO</t>
  </si>
  <si>
    <t>Proyecto Cobertura 2025</t>
  </si>
  <si>
    <t>013141601_AQ_RicoPollo</t>
  </si>
  <si>
    <t>AREQUIPA</t>
  </si>
  <si>
    <t>CERRO COLORADO</t>
  </si>
  <si>
    <t>013221300_JU_Gudelia</t>
  </si>
  <si>
    <t>JUNIN</t>
  </si>
  <si>
    <t>HUANCAYO</t>
  </si>
  <si>
    <t>013181600_CS_AvArequipaDeSicuani</t>
  </si>
  <si>
    <t>CUSCO</t>
  </si>
  <si>
    <t>CANCHIS</t>
  </si>
  <si>
    <t>SICUANI</t>
  </si>
  <si>
    <t>013141757_AQ_Pedregalito</t>
  </si>
  <si>
    <t>CAYLLOMA</t>
  </si>
  <si>
    <t>MAJES</t>
  </si>
  <si>
    <t>013141788_AQ_RosarioApipa</t>
  </si>
  <si>
    <t>013202371_LH_PlantaAmarilis</t>
  </si>
  <si>
    <t>HUANUCO</t>
  </si>
  <si>
    <t>AMARILIS</t>
  </si>
  <si>
    <t>013151016_AY_SanJuanBautista</t>
  </si>
  <si>
    <t>AYACUCHO</t>
  </si>
  <si>
    <t>HUAMANGA</t>
  </si>
  <si>
    <t>SAN JUAN BAUTISTA</t>
  </si>
  <si>
    <t>013221028_JU_OlayaDeJunin</t>
  </si>
  <si>
    <t>HUANCAN</t>
  </si>
  <si>
    <t>013253998_LM_RioSecoDeCarabayllo</t>
  </si>
  <si>
    <t>CARABAYLLO</t>
  </si>
  <si>
    <t>013141791_AQ_CasaRosada</t>
  </si>
  <si>
    <t>PAUCARPATA</t>
  </si>
  <si>
    <t>013222329_JU_SatipoBorde</t>
  </si>
  <si>
    <t>SATIPO</t>
  </si>
  <si>
    <t>013354097_UY_ElRadar</t>
  </si>
  <si>
    <t>UCAYALI</t>
  </si>
  <si>
    <t>CORONEL PORTILLO</t>
  </si>
  <si>
    <t>CALLERIA</t>
  </si>
  <si>
    <t>013303004_PI_BernaSilva</t>
  </si>
  <si>
    <t>PIURA</t>
  </si>
  <si>
    <t>LA UNION</t>
  </si>
  <si>
    <t>013303023_PI_CementerioDeCatacaos</t>
  </si>
  <si>
    <t>CATACAOS</t>
  </si>
  <si>
    <t>013233943_LI_Talambo</t>
  </si>
  <si>
    <t>LA LIBERTAD</t>
  </si>
  <si>
    <t>CHEPEN</t>
  </si>
  <si>
    <t>013306505_PI_AlamedaLosFicus</t>
  </si>
  <si>
    <t>CASTILLA</t>
  </si>
  <si>
    <t>013233844_LI_EstadioPaijan</t>
  </si>
  <si>
    <t>ASCOPE</t>
  </si>
  <si>
    <t>PAIJAN</t>
  </si>
  <si>
    <t>013141806_AQ_MercadoMajes</t>
  </si>
  <si>
    <t>013254067_LM_LeonesLurigancho</t>
  </si>
  <si>
    <t>LURIGANCHO</t>
  </si>
  <si>
    <t>013254616_LM_MacropolisLurin</t>
  </si>
  <si>
    <t>LURIN</t>
  </si>
  <si>
    <t>013243986_LA_JuanVelazcoDePimentel</t>
  </si>
  <si>
    <t>LAMBAYEQUE</t>
  </si>
  <si>
    <t>CHICLAYO</t>
  </si>
  <si>
    <t>PIMENTEL</t>
  </si>
  <si>
    <t>013243984_LA_Ferre</t>
  </si>
  <si>
    <t>MONSEFU</t>
  </si>
  <si>
    <t>013251920_LM_LosNaturales</t>
  </si>
  <si>
    <t>013303565_PI_SantaSofiaSullana</t>
  </si>
  <si>
    <t>SULLANA</t>
  </si>
  <si>
    <t>IGNACIO ESCUDERO</t>
  </si>
  <si>
    <t>013164019_CA_ManantialesCajamarca</t>
  </si>
  <si>
    <t>CAJAMARCA</t>
  </si>
  <si>
    <t>013211411_IC_ProAgroColca</t>
  </si>
  <si>
    <t>ICA</t>
  </si>
  <si>
    <t>SALAS</t>
  </si>
  <si>
    <t>013221714_JU_CordovaDeHuancan</t>
  </si>
  <si>
    <t>013201024_LH_PuertoSungaro</t>
  </si>
  <si>
    <t>PUERTO INCA</t>
  </si>
  <si>
    <t>013303641_PI_VillaHermosa</t>
  </si>
  <si>
    <t>VEINTISEIS DE OCTUBRE</t>
  </si>
  <si>
    <t>013141832_AQ_PorvenirApipa</t>
  </si>
  <si>
    <t>013303635_PI_VillaChulucanas</t>
  </si>
  <si>
    <t>013354089_UY_RodolfoEspinar</t>
  </si>
  <si>
    <t>013221029_JU_ElectroChupaca</t>
  </si>
  <si>
    <t>CHUPACA</t>
  </si>
  <si>
    <t>013221035_JU_EstadioViques</t>
  </si>
  <si>
    <t>VIQUES</t>
  </si>
  <si>
    <t>013331017_TA_CriptaDeLosHeroes</t>
  </si>
  <si>
    <t>TACNA</t>
  </si>
  <si>
    <t>ALTO DE LA ALIANZA</t>
  </si>
  <si>
    <t>013211376_IC_SantaBarbara</t>
  </si>
  <si>
    <t>LA TINGUIÑA</t>
  </si>
  <si>
    <t>013221039_JU_HuamaliPueblo</t>
  </si>
  <si>
    <t>JAUJA</t>
  </si>
  <si>
    <t>HUAMALI</t>
  </si>
  <si>
    <t>013221711_JU_ColiseoPilcomayo</t>
  </si>
  <si>
    <t>PILCOMAYO</t>
  </si>
  <si>
    <t>013221063_JU_Acolla</t>
  </si>
  <si>
    <t>TUNAN MARCA</t>
  </si>
  <si>
    <t>013192368_HU_PampasCentro</t>
  </si>
  <si>
    <t>HUANCAVELICA</t>
  </si>
  <si>
    <t>TAYACAJA</t>
  </si>
  <si>
    <t>PAMPAS</t>
  </si>
  <si>
    <t>013183089_CS_SalidaEspinar</t>
  </si>
  <si>
    <t>ESPINAR</t>
  </si>
  <si>
    <t>013141771_AQ_MajesModuloB</t>
  </si>
  <si>
    <t>013211122_IC_AtleticoPisqueno</t>
  </si>
  <si>
    <t>PISCO</t>
  </si>
  <si>
    <t>013234431_LI_MacabiAlto</t>
  </si>
  <si>
    <t>RAZURI</t>
  </si>
  <si>
    <t>013354096_UY_NuevaMagdalena</t>
  </si>
  <si>
    <t>013121739_AN_Yuracoto</t>
  </si>
  <si>
    <t>ANCASH</t>
  </si>
  <si>
    <t>HUAYLAS</t>
  </si>
  <si>
    <t>CARAZ</t>
  </si>
  <si>
    <t>013313081_PN_SalcedoDePuno</t>
  </si>
  <si>
    <t>PUNO</t>
  </si>
  <si>
    <t>013311686_PN_JardinDelAltiplano</t>
  </si>
  <si>
    <t>SAN ROMAN</t>
  </si>
  <si>
    <t>JULIACA</t>
  </si>
  <si>
    <t>013254003_LM_SanMarcosDeLaAguada</t>
  </si>
  <si>
    <t>MALA</t>
  </si>
  <si>
    <t>013311635_PN_JuliacaLampa</t>
  </si>
  <si>
    <t>013261301_LO_BelgranoDePunchana</t>
  </si>
  <si>
    <t>LORETO</t>
  </si>
  <si>
    <t>MAYNAS</t>
  </si>
  <si>
    <t>PUNCHANA</t>
  </si>
  <si>
    <t>013234407_LI_LosAltosDeTrujillo</t>
  </si>
  <si>
    <t>TRUJILLO</t>
  </si>
  <si>
    <t>EL PORVENIR</t>
  </si>
  <si>
    <t>013201026_LH_Escorpio</t>
  </si>
  <si>
    <t>013255020_LM_AldeasPachacamac</t>
  </si>
  <si>
    <t>PACHACAMAC</t>
  </si>
  <si>
    <t>013121737_AN_Sihuas</t>
  </si>
  <si>
    <t>SIHUAS</t>
  </si>
  <si>
    <t>CASHAPAMPA</t>
  </si>
  <si>
    <t>013121596_AN_Caracinita</t>
  </si>
  <si>
    <t>013233799_LI_CampoNuevo</t>
  </si>
  <si>
    <t>VIRU</t>
  </si>
  <si>
    <t>GUADALUPITO</t>
  </si>
  <si>
    <t>013164070_CA_UrbFloresJaen</t>
  </si>
  <si>
    <t>JAEN</t>
  </si>
  <si>
    <t>013254059_LM_PedroSayan</t>
  </si>
  <si>
    <t>BARRANCA</t>
  </si>
  <si>
    <t>013141809_AQ_ColegioElohim</t>
  </si>
  <si>
    <t>MARIANO MELGAR</t>
  </si>
  <si>
    <t>013141751_AQ_AltoJerusalen</t>
  </si>
  <si>
    <t>013141811_AQ_CampinaSocabaya</t>
  </si>
  <si>
    <t>SOCABAYA</t>
  </si>
  <si>
    <t>013121706_AN_NuevoParaisoChimbote</t>
  </si>
  <si>
    <t>SANTA</t>
  </si>
  <si>
    <t>CHIMBOTE</t>
  </si>
  <si>
    <t>013303050_PI_LosLaureles</t>
  </si>
  <si>
    <t>013303049_PI_Laynes</t>
  </si>
  <si>
    <t>MORROPON</t>
  </si>
  <si>
    <t>LA MATANZA</t>
  </si>
  <si>
    <t>013211366_IC_PlazaAquijes</t>
  </si>
  <si>
    <t>LOS AQUIJES</t>
  </si>
  <si>
    <t>013211121_IC_PedroTipacti</t>
  </si>
  <si>
    <t>PUEBLO NUEVO</t>
  </si>
  <si>
    <t>013313079_PN_UrbConcordia</t>
  </si>
  <si>
    <t>013303563_PI_SagradoCorazonDeJesus</t>
  </si>
  <si>
    <t>TAMBO GRANDE</t>
  </si>
  <si>
    <t>013183313_CS_VillaFlorida</t>
  </si>
  <si>
    <t>SAN SEBASTIAN</t>
  </si>
  <si>
    <t>013234788_LI_RodolfoGonzales</t>
  </si>
  <si>
    <t>013141805_AQ_EstadioSocabaya</t>
  </si>
  <si>
    <t>013313083_PN_Taparachi</t>
  </si>
  <si>
    <t>013221062_JU_CircuitoLibertadores</t>
  </si>
  <si>
    <t>013243957_LA_OyotunCiudad</t>
  </si>
  <si>
    <t>OYOTUN</t>
  </si>
  <si>
    <t>013254000_LM_Retes</t>
  </si>
  <si>
    <t>013141808_AQ_CiudadMunicipal</t>
  </si>
  <si>
    <t>013243873_LA_Garcia</t>
  </si>
  <si>
    <t>OLMOS</t>
  </si>
  <si>
    <t>013141777_AQ_APIAAR</t>
  </si>
  <si>
    <t>013221064_JU_RioNegroCiudad</t>
  </si>
  <si>
    <t>RIO NEGRO</t>
  </si>
  <si>
    <t>013211886_IC_IngresoFlorida</t>
  </si>
  <si>
    <t>PARCONA</t>
  </si>
  <si>
    <t>013211503_IC_VientoYArena</t>
  </si>
  <si>
    <t>013262619_LO_LasFloresDelBautista</t>
  </si>
  <si>
    <t>013234362_LI_LasFlores</t>
  </si>
  <si>
    <t>HUANCHACO</t>
  </si>
  <si>
    <t>013321271_SM_SanJuanDeUchiza</t>
  </si>
  <si>
    <t>SAN MARTIN</t>
  </si>
  <si>
    <t>TOCACHE</t>
  </si>
  <si>
    <t>UCHIZA</t>
  </si>
  <si>
    <t>013121708_AN_PiedrasAzules</t>
  </si>
  <si>
    <t>HUARAZ</t>
  </si>
  <si>
    <t>013352625_UY_TriunfoDeSanAlejandro</t>
  </si>
  <si>
    <t>PADRE ABAD</t>
  </si>
  <si>
    <t>IRAZOLA</t>
  </si>
  <si>
    <t>013354091_UY_Bellido</t>
  </si>
  <si>
    <t>MANANTAY</t>
  </si>
  <si>
    <t>013141812_AQ_AcequiaLasFlores</t>
  </si>
  <si>
    <t>013254010_LM_AmautaDeAte</t>
  </si>
  <si>
    <t>ATE</t>
  </si>
  <si>
    <t>013141764_AQ_AmpliacionSocabaya</t>
  </si>
  <si>
    <t>013211522_IC_VictorMatta</t>
  </si>
  <si>
    <t>CHINCHA</t>
  </si>
  <si>
    <t>CHINCHA BAJA</t>
  </si>
  <si>
    <t>013233707_LI_AscencioDeSalas</t>
  </si>
  <si>
    <t>013141776_AQ_MiradorCayma</t>
  </si>
  <si>
    <t>CAYMA</t>
  </si>
  <si>
    <t>013141807_AQ_PasajeBalconcillo</t>
  </si>
  <si>
    <t>JACOBO HUNTER</t>
  </si>
  <si>
    <t>013141790_AQ_BellavistaMollendo</t>
  </si>
  <si>
    <t>ISLAY</t>
  </si>
  <si>
    <t>MOLLENDO</t>
  </si>
  <si>
    <t>013312421_PN_UrbElCarmenDeJuliaca</t>
  </si>
  <si>
    <t>013254054_LM_VialLurigancho</t>
  </si>
  <si>
    <t>SAN JUAN DE LURIGANCHO</t>
  </si>
  <si>
    <t>013243953_LA_KamiNoMiyako</t>
  </si>
  <si>
    <t>SAN JOSE</t>
  </si>
  <si>
    <t>013322601_SM_Mamisha</t>
  </si>
  <si>
    <t>013211145_IC_SanJoseVillacuri</t>
  </si>
  <si>
    <t>013354087_UY_SrDeLosMilagros</t>
  </si>
  <si>
    <t>YARINACOCHA</t>
  </si>
  <si>
    <t>013254046_LM_LibertadChosica</t>
  </si>
  <si>
    <t>013141813_AQ_VillaFontana</t>
  </si>
  <si>
    <t>013141816_AQ_ParqueCaminoReal</t>
  </si>
  <si>
    <t>JOSE LUIS BUSTAMANTE Y RIVERO</t>
  </si>
  <si>
    <t>013303051_PI_MancoraEste</t>
  </si>
  <si>
    <t>TALARA</t>
  </si>
  <si>
    <t>MANCORA</t>
  </si>
  <si>
    <t>013243964_LA_SanTadeo</t>
  </si>
  <si>
    <t>013211149_IC_Achirana</t>
  </si>
  <si>
    <t>013136165_AP_EsSaludDeAndahuaylas</t>
  </si>
  <si>
    <t>APURIMAC</t>
  </si>
  <si>
    <t>ANDAHUAYLAS</t>
  </si>
  <si>
    <t>013121703_AN_Jinua</t>
  </si>
  <si>
    <t>INDEPENDENCIA</t>
  </si>
  <si>
    <t>013183090_CS_IglesiaYauri</t>
  </si>
  <si>
    <t>013183087_CS_ConquistadoresCusco</t>
  </si>
  <si>
    <t>013211894_IC_AvSolDeTinguina</t>
  </si>
  <si>
    <t>013243908_LA_PaseoFerrenafe</t>
  </si>
  <si>
    <t>FERREÑAFE</t>
  </si>
  <si>
    <t>013243883_LA_LaArboleada</t>
  </si>
  <si>
    <t>013164051_CA_MollepampaAlta</t>
  </si>
  <si>
    <t>013164086_CA_Llacanora</t>
  </si>
  <si>
    <t>LLACANORA</t>
  </si>
  <si>
    <t>Proyecto Cobertura 2025</t>
  </si>
  <si>
    <t>013221037_JU_SenorBajo</t>
  </si>
  <si>
    <t>CHONGOS BAJO</t>
  </si>
  <si>
    <t>013243960_LA_SolDePimentel</t>
  </si>
  <si>
    <t>013164078_CA_AvInmaculadaJaen</t>
  </si>
  <si>
    <t>013221060_JU_Wayra</t>
  </si>
  <si>
    <t>013164066_CA_Negropampa</t>
  </si>
  <si>
    <t>CHOTA</t>
  </si>
  <si>
    <t>Proyecto Rollout 2025</t>
  </si>
  <si>
    <t>013261302_LO_Diresa</t>
  </si>
  <si>
    <t>013303609_PI_SullanaIndustrial</t>
  </si>
  <si>
    <t>013306080_PI_Sapillica</t>
  </si>
  <si>
    <t>LAS LOMAS</t>
  </si>
  <si>
    <t>013164063_CA_CampestreCelendin</t>
  </si>
  <si>
    <t>CELENDIN</t>
  </si>
  <si>
    <t>013243977_LA_EtenCiudad</t>
  </si>
  <si>
    <t>ETEN</t>
  </si>
  <si>
    <t>013251916_LM_Metodista</t>
  </si>
  <si>
    <t>013312780_PN_ManazoCiudad</t>
  </si>
  <si>
    <t>MANAZO</t>
  </si>
  <si>
    <t>013211144_IC_LaPrometida</t>
  </si>
  <si>
    <t>013303562_PI_RioViejoNorte</t>
  </si>
  <si>
    <t>LA ARENA</t>
  </si>
  <si>
    <t>013303055_PI_PenaElAlgarrobo</t>
  </si>
  <si>
    <t>013311687_PN_RittyKucho</t>
  </si>
  <si>
    <t>SAN ANTONIO DE PUTINA</t>
  </si>
  <si>
    <t>ANANEA</t>
  </si>
  <si>
    <t>013254044_LM_EscuelaDeInfanteria</t>
  </si>
  <si>
    <t>ANCON</t>
  </si>
  <si>
    <t>013254083_LM_AsocMarAncon</t>
  </si>
  <si>
    <t>013243979_LA_Estridon</t>
  </si>
  <si>
    <t>013303048_PI_LasCapullanas</t>
  </si>
  <si>
    <t>013303648_PI_VillaLaPaz</t>
  </si>
  <si>
    <t>013226346_JU_MonasterioTarma</t>
  </si>
  <si>
    <t>TARMA</t>
  </si>
  <si>
    <t>013251244_LM_MacroEstacionPiramide</t>
  </si>
  <si>
    <t>013211162_IC_CanteraParcona</t>
  </si>
  <si>
    <t>013121053_AN_CaminoACopampa</t>
  </si>
  <si>
    <t>CARHUAZ</t>
  </si>
  <si>
    <t>013303031_PI_Cieneguillo</t>
  </si>
  <si>
    <t>013303046_PI_LasAmapolas</t>
  </si>
  <si>
    <t>013253789_LM_LasVegasDePuentePiedra</t>
  </si>
  <si>
    <t>PUENTE PIEDRA</t>
  </si>
  <si>
    <t>013141758_AQ_QuinceDeAgosto</t>
  </si>
  <si>
    <t>SACHACA</t>
  </si>
  <si>
    <t>013313020_PN_Uchunchullis</t>
  </si>
  <si>
    <t>013234350_LI_ElMilagroPaijan</t>
  </si>
  <si>
    <t>013234435_LI_MolinoSalina</t>
  </si>
  <si>
    <t>LA ESPERANZA</t>
  </si>
  <si>
    <t>013252352_LM_ArbolesDeChilca</t>
  </si>
  <si>
    <t>CHILCA</t>
  </si>
  <si>
    <t>013211390_IC_LaSurena</t>
  </si>
  <si>
    <t>SANTIAGO</t>
  </si>
  <si>
    <t>013243879_LA_MunicipalidadDeTuman</t>
  </si>
  <si>
    <t>TUMAN</t>
  </si>
  <si>
    <t>013252088_LM_Nicasio</t>
  </si>
  <si>
    <t>HUAURA</t>
  </si>
  <si>
    <t>VEGUETA</t>
  </si>
  <si>
    <t>013121705_AN_NauticoHistorico</t>
  </si>
  <si>
    <t>013303034_PI_ElBosque</t>
  </si>
  <si>
    <t>013234405_LI_LaArenita</t>
  </si>
  <si>
    <t>Proyecto Regulatorio 2025</t>
  </si>
  <si>
    <t>013180389_CS_MiradorQuillabamba</t>
  </si>
  <si>
    <t>LA CONVENCION</t>
  </si>
  <si>
    <t>SANTA ANA</t>
  </si>
  <si>
    <t>013164473_CA_RumboYanacocha</t>
  </si>
  <si>
    <t>LOS BAÑOS DEL INCA</t>
  </si>
  <si>
    <t>013303613_PI_VateManrique</t>
  </si>
  <si>
    <t>CHULUCANAS</t>
  </si>
  <si>
    <t>013253930_LM_Teran</t>
  </si>
  <si>
    <t>CHORRILLOS</t>
  </si>
  <si>
    <t>013201023_LH_PlazaMolino</t>
  </si>
  <si>
    <t>PACHITEA</t>
  </si>
  <si>
    <t>MOLINO</t>
  </si>
  <si>
    <t>013250783_LM_PlanicieDelMirador</t>
  </si>
  <si>
    <t>013243875_LA_NinoEmiliano</t>
  </si>
  <si>
    <t>013183084_CS_DirigentesCusco</t>
  </si>
  <si>
    <t>013312420_PN_AvenidaCandelaria</t>
  </si>
  <si>
    <t>013211551_IC_OvaloNazca</t>
  </si>
  <si>
    <t>NASCA</t>
  </si>
  <si>
    <t>013243962_LA_TumanNorte</t>
  </si>
  <si>
    <t>013324702_SM_SanRafael</t>
  </si>
  <si>
    <t>BELLAVISTA</t>
  </si>
  <si>
    <t>SAN RAFAEL</t>
  </si>
  <si>
    <t>013222370_JU_PlazaPrincipalDeApata</t>
  </si>
  <si>
    <t>3G+4G</t>
  </si>
  <si>
    <t>APATA</t>
  </si>
  <si>
    <t>013201021_LH_EstadioUnas</t>
  </si>
  <si>
    <t>LEONCIO PRADO</t>
  </si>
  <si>
    <t>RUPA-RUPA</t>
  </si>
  <si>
    <t>013121056_AN_CaminoViejo</t>
  </si>
  <si>
    <t>CASMA</t>
  </si>
  <si>
    <t>013141765_AQ_FRACSA</t>
  </si>
  <si>
    <t>013290332_CP_RegionesDeYanacancha</t>
  </si>
  <si>
    <t>PASCO</t>
  </si>
  <si>
    <t>YANACANCHA</t>
  </si>
  <si>
    <t>013303053_PI_ParqueEcologicoKurtBeer</t>
  </si>
  <si>
    <t>013252904_LM_CondominiosDeComas</t>
  </si>
  <si>
    <t>COMAS</t>
  </si>
  <si>
    <t>013303041_PI_IglesiaDeSanJacinto</t>
  </si>
  <si>
    <t>013141820_AQ_LunaZevallos</t>
  </si>
  <si>
    <t>013264745_LO_MercadoCardoso</t>
  </si>
  <si>
    <t>ON AIR</t>
  </si>
  <si>
    <t>013315126_PN_LagunaQoriwata</t>
  </si>
  <si>
    <t>013221067_JU_TierraHermosa</t>
  </si>
  <si>
    <t>013121046_AN_AvPardoChimbote</t>
  </si>
  <si>
    <t>013243899_LA_FabricaMolitalia</t>
  </si>
  <si>
    <t>013233985_LI_ZafraCartavio</t>
  </si>
  <si>
    <t>SANTIAGO DE CAO</t>
  </si>
  <si>
    <t>013234419_LI_LosAnabeles</t>
  </si>
  <si>
    <t>013234028_LI_ElCarmelo</t>
  </si>
  <si>
    <t>013233802_LI_CanalDeSuez</t>
  </si>
  <si>
    <t>013234795_LI_SixtoBalarezo</t>
  </si>
  <si>
    <t>PACASMAYO</t>
  </si>
  <si>
    <t>GUADALUPE</t>
  </si>
  <si>
    <t>013170719_LM_Telmo</t>
  </si>
  <si>
    <t>CALLAO</t>
  </si>
  <si>
    <t>013251505_LM_HuaycanZonaX</t>
  </si>
  <si>
    <t>013141760_AQ_AltoEnsenada</t>
  </si>
  <si>
    <t>DEAN VALDIVIA</t>
  </si>
  <si>
    <t>013234791_LI_SamCarlosDeLaredo</t>
  </si>
  <si>
    <t>LAREDO</t>
  </si>
  <si>
    <t>013303054_PI_ParqueJoseOlaya</t>
  </si>
  <si>
    <t>013141783_AQ_LosMontoneros</t>
  </si>
  <si>
    <t>013164077_CA_CascadaParkJaen</t>
  </si>
  <si>
    <t>013256444_LM_CruzDeMayo</t>
  </si>
  <si>
    <t>013254249_LM_LaPalmaDeBarranca</t>
  </si>
  <si>
    <t>013315818_PN_EstadioDeAyaviri</t>
  </si>
  <si>
    <t>MELGAR</t>
  </si>
  <si>
    <t>AYAVIRI</t>
  </si>
  <si>
    <t>013303612_PI_UnivNacionalDeFrontera</t>
  </si>
  <si>
    <t>013234398_LI_GenaroSilva</t>
  </si>
  <si>
    <t>013201027_LH_SanJorge</t>
  </si>
  <si>
    <t>CASTILLO GRANDE</t>
  </si>
  <si>
    <t>013211898_IC_VillaEsperanza</t>
  </si>
  <si>
    <t>SAN CLEMENTE</t>
  </si>
  <si>
    <t>013252353_LM_Pflucker</t>
  </si>
  <si>
    <t>013243981_LA_PlantaDeVidDeChongoyape</t>
  </si>
  <si>
    <t>JAYANCA</t>
  </si>
  <si>
    <t>013121717_AN_Ranrahirca</t>
  </si>
  <si>
    <t>YUNGAY</t>
  </si>
  <si>
    <t>RANRAHIRCA</t>
  </si>
  <si>
    <t>013251919_LM_CondominiosAltoDelRimac</t>
  </si>
  <si>
    <t>RIMAC</t>
  </si>
  <si>
    <t>013201025_LH_AltoHuanuco</t>
  </si>
  <si>
    <t>013252070_LM_ClubEcuestreHuachipa</t>
  </si>
  <si>
    <t>013132284_AP_Totorabamba</t>
  </si>
  <si>
    <t>CHINCHEROS</t>
  </si>
  <si>
    <t>ANCO HUALLO</t>
  </si>
  <si>
    <t>013254001_LM_BujamaAlta</t>
  </si>
  <si>
    <t>013243890_LA_BatangrandeCiudad</t>
  </si>
  <si>
    <t>PITIPO</t>
  </si>
  <si>
    <t>013211295_IC_MirafloresAlegre</t>
  </si>
  <si>
    <t>VISTA ALEGRE</t>
  </si>
  <si>
    <t>013234578_LI_ParqueEterno</t>
  </si>
  <si>
    <t>013303701_PI_VillaPrimavera</t>
  </si>
  <si>
    <t>013234027_LI_AvCotrina</t>
  </si>
  <si>
    <t>013121726_AN_RioSalcedo</t>
  </si>
  <si>
    <t>NUEVO CHIMBOTE</t>
  </si>
  <si>
    <t>013164048_CA_IndependenciaCajamarca</t>
  </si>
  <si>
    <t>013234420_LI_LosEspinos</t>
  </si>
  <si>
    <t>013211506_IC_Lupuna</t>
  </si>
  <si>
    <t>013141780_AQ_GarciaCalderon</t>
  </si>
  <si>
    <t>ALTO SELVA ALEGRE</t>
  </si>
  <si>
    <t>013315820_PN_MeandroDeRioMaravilla</t>
  </si>
  <si>
    <t>SAN MIGUEL</t>
  </si>
  <si>
    <t>013140531_AQ_OvaloMajes</t>
  </si>
  <si>
    <t>013234787_LI_RoblesViera</t>
  </si>
  <si>
    <t>013234351_LI_CaminoReal</t>
  </si>
  <si>
    <t>MOCHE</t>
  </si>
  <si>
    <t>013115828_AZ_KatariDeBagua</t>
  </si>
  <si>
    <t>AMAZONAS</t>
  </si>
  <si>
    <t>UTCUBAMBA</t>
  </si>
  <si>
    <t>BAGUA GRANDE</t>
  </si>
  <si>
    <t>013234606_LI_Pesqueria</t>
  </si>
  <si>
    <t>VICTOR LARCO HERRERA</t>
  </si>
  <si>
    <t>013251331_LM_ParqueDeLasAguas</t>
  </si>
  <si>
    <t>013243954_LA_EstadioMendoza</t>
  </si>
  <si>
    <t>013234422_LI_LosHeraldosDeChuco</t>
  </si>
  <si>
    <t>SANTIAGO DE CHUCO</t>
  </si>
  <si>
    <t>013121704_AN_MilagrosDelSur</t>
  </si>
  <si>
    <t>013251527_LM_Agreopecuaria</t>
  </si>
  <si>
    <t>VILLA MARIA DEL TRIUNFO</t>
  </si>
  <si>
    <t>013211559_IC_ElHaras</t>
  </si>
  <si>
    <t>013311632_PN_Samillan</t>
  </si>
  <si>
    <t>013141822_AQ_UrbManresa</t>
  </si>
  <si>
    <t>013141762_AQ_AduanasArequipa</t>
  </si>
  <si>
    <t>013254639_LM_CientificosJicamarca</t>
  </si>
  <si>
    <t>013251526_LM_NuevaGales</t>
  </si>
  <si>
    <t>013303410_PI_PuntaVeleros</t>
  </si>
  <si>
    <t>LOS ORGANOS</t>
  </si>
  <si>
    <t>013140507_AQ_PrimeroDeJunio</t>
  </si>
  <si>
    <t>013243937_LA_Chagui</t>
  </si>
  <si>
    <t>JOSE LEONARDO ORTIZ</t>
  </si>
  <si>
    <t>013243951_LA_TucumeViejo</t>
  </si>
  <si>
    <t>TUCUME</t>
  </si>
  <si>
    <t>013183085_CS_Llaullipuquio</t>
  </si>
  <si>
    <t>013161275_CA_AhijaderoDeLaCamaca</t>
  </si>
  <si>
    <t>HUALGAYOC</t>
  </si>
  <si>
    <t>BAMBAMARCA</t>
  </si>
  <si>
    <t>013141827_AQ_FundoLaTejada</t>
  </si>
  <si>
    <t>013254560_LM_EstrellaCieneguilla</t>
  </si>
  <si>
    <t>CIENEGUILLA</t>
  </si>
  <si>
    <t>013243928_LA_VillaHorizonte</t>
  </si>
  <si>
    <t>LA VICTORIA</t>
  </si>
  <si>
    <t>013234694_LI_PuenteVeneno</t>
  </si>
  <si>
    <t>013121044_AN_DivinoMaestro</t>
  </si>
  <si>
    <t>013254064_LM_NuevaGeneracionSjl</t>
  </si>
  <si>
    <t>013303043_PI_JardinesDeCastilla</t>
  </si>
  <si>
    <t>013173989_LM_HeroesDeLaGuerra</t>
  </si>
  <si>
    <t>VENTANILLA</t>
  </si>
  <si>
    <t>013121709_AN_PuenteCarrizal</t>
  </si>
  <si>
    <t>013233823_LI_ClubDeportivoAsp</t>
  </si>
  <si>
    <t>013254734_LM_LaFloridaDeMargareth</t>
  </si>
  <si>
    <t>013245855_LA_Anunciata</t>
  </si>
  <si>
    <t>013225872_JU_VeneciaDelTambo</t>
  </si>
  <si>
    <t>EL TAMBO</t>
  </si>
  <si>
    <t>013121042_AN_AquaSanPedro</t>
  </si>
  <si>
    <t>013250727_LM_NinoDePampachica</t>
  </si>
  <si>
    <t>013121593_AN_Canyasbamba</t>
  </si>
  <si>
    <t>013221036_JU_Patarcocha</t>
  </si>
  <si>
    <t>SAN JUAN DE ISCOS</t>
  </si>
  <si>
    <t>013251262_LM_MaestroDelNaranjal</t>
  </si>
  <si>
    <t>LOS OLIVOS</t>
  </si>
  <si>
    <t>013243975_LA_Bunga</t>
  </si>
  <si>
    <t>013234400_LI_Laredo</t>
  </si>
  <si>
    <t>013234793_LI_SantaLuciaDeLLoc</t>
  </si>
  <si>
    <t>SAN PEDRO DE LLOC</t>
  </si>
  <si>
    <t>013141773_AQ_LasEsmeraldas</t>
  </si>
  <si>
    <t>013215034_IC_HuancaChanca</t>
  </si>
  <si>
    <t>CHINCHA ALTA</t>
  </si>
  <si>
    <t>013221041_JU_CerroPucara</t>
  </si>
  <si>
    <t>PUCARA</t>
  </si>
  <si>
    <t>013221592_JU_StaBarbara</t>
  </si>
  <si>
    <t>SICAYA</t>
  </si>
  <si>
    <t>013354076_UY_ComandanteBarrera</t>
  </si>
  <si>
    <t>013181631_CS_EmblematicoDeSicuani</t>
  </si>
  <si>
    <t>013211375_IC_PlazaArmasIca</t>
  </si>
  <si>
    <t>013250786_LM_SetAmericaTv</t>
  </si>
  <si>
    <t>013185124_CS_ClorindaMattoCusco</t>
  </si>
  <si>
    <t>013221031_JU_AcuarioDelTambo</t>
  </si>
  <si>
    <t>013210636_IC_ArenasLaFlorida</t>
  </si>
  <si>
    <t>SUBTANJALLA</t>
  </si>
  <si>
    <t>013234401_LI_NueveDeOctubre</t>
  </si>
  <si>
    <t>SANCHEZ CARRION</t>
  </si>
  <si>
    <t>HUAMACHUCO</t>
  </si>
  <si>
    <t>013211539_IC_ColinasDeLaAngostura</t>
  </si>
  <si>
    <t>013183317_CS_MiradorEstrella</t>
  </si>
  <si>
    <t>013302963_PI_AvMonteVerde</t>
  </si>
  <si>
    <t>013254665_LM_MadreDelRedentor</t>
  </si>
  <si>
    <t>SAN JUAN DE MIRAFLORES</t>
  </si>
  <si>
    <t>013252629_LM_Naranjo</t>
  </si>
  <si>
    <t>013245848_LA_EstanciaDelValle</t>
  </si>
  <si>
    <t>013141795_AQ_SacoOliveros</t>
  </si>
  <si>
    <t>013183333_CS_Huattampampa</t>
  </si>
  <si>
    <t>013303044_PI_LagunaCoscomba</t>
  </si>
  <si>
    <t>013211061_IC_FrayRosas</t>
  </si>
  <si>
    <t>013115827_AZ_BaguaGrande</t>
  </si>
  <si>
    <t>013292369_CP_RioEntaz</t>
  </si>
  <si>
    <t>OXAPAMPA</t>
  </si>
  <si>
    <t>VILLA RICA</t>
  </si>
  <si>
    <t>013303392_PI_PuebloChocan</t>
  </si>
  <si>
    <t>QUERECOTILLO</t>
  </si>
  <si>
    <t>013324701_SM_NvoHorizonteTocache</t>
  </si>
  <si>
    <t>POLVORA</t>
  </si>
  <si>
    <t>013303032_PI_ColiseoDeGallos</t>
  </si>
  <si>
    <t>013225873_JU_IsuzuCoyllor</t>
  </si>
  <si>
    <t>SAN AGUSTIN</t>
  </si>
  <si>
    <t>013254074_LM_ParqueMayor</t>
  </si>
  <si>
    <t>EL AGUSTINO</t>
  </si>
  <si>
    <t>013221058_JU_RioTulumayo</t>
  </si>
  <si>
    <t>CHANCHAMAYO</t>
  </si>
  <si>
    <t>SAN RAMON</t>
  </si>
  <si>
    <t>013233798_LI_CaliforniaDeViru</t>
  </si>
  <si>
    <t>013245857_LA_Saman</t>
  </si>
  <si>
    <t>013211341_IC_FundosLaJoya</t>
  </si>
  <si>
    <t>013303405_PI_PuebloMallares</t>
  </si>
  <si>
    <t>MARCAVELICA</t>
  </si>
  <si>
    <t>013255874_LM_HuaycanZonaZ</t>
  </si>
  <si>
    <t>013231307_LI_LosPinosHuanchaco</t>
  </si>
  <si>
    <t>013305825_PI_VittorioDeBernal</t>
  </si>
  <si>
    <t>SECHURA</t>
  </si>
  <si>
    <t>BERNAL</t>
  </si>
  <si>
    <t>013245851_LA_ProlongacionSanCarlos</t>
  </si>
  <si>
    <t>013252348_LM_BandurriaDeChilca</t>
  </si>
  <si>
    <t>013231306_LI_ParqueIndustrialLaEsperanza</t>
  </si>
  <si>
    <t>013245862_LA_Faiques</t>
  </si>
  <si>
    <t>013243935_LA_Patapo</t>
  </si>
  <si>
    <t>PATAPO</t>
  </si>
  <si>
    <t>013251507_LM_Kuviriani</t>
  </si>
  <si>
    <t>VILLA EL SALVADOR</t>
  </si>
  <si>
    <t>013234794_LI_ShoreyChico</t>
  </si>
  <si>
    <t>QUIRUVILCA</t>
  </si>
  <si>
    <t>013141802_AQ_HeroesBrena</t>
  </si>
  <si>
    <t>013233070_LI_AbelardoDeHuanchaco</t>
  </si>
  <si>
    <t>013165789_CA_DeportivoRosapampa</t>
  </si>
  <si>
    <t>013251241_LM_UnanueDeGamarra</t>
  </si>
  <si>
    <t>013131020_AP_BarrioFonavi</t>
  </si>
  <si>
    <t>ABANCAY</t>
  </si>
  <si>
    <t>013141803_AQ_FloridaHunter</t>
  </si>
  <si>
    <t>013231317_LI_ElPorvenirCapirona</t>
  </si>
  <si>
    <t>013141833_AQ_UlrichNeisser</t>
  </si>
  <si>
    <t>MIRAFLORES</t>
  </si>
  <si>
    <t>013245859_LA_LaEncenadaDeChiclayo</t>
  </si>
  <si>
    <t>013226176_JU_Hilser</t>
  </si>
  <si>
    <t>013251940_LM_LasCascadas</t>
  </si>
  <si>
    <t>013141792_AQ_VillaVerde</t>
  </si>
  <si>
    <t>013234404_LI_Kauffman</t>
  </si>
  <si>
    <t>013324402_SM_AltoMayo</t>
  </si>
  <si>
    <t>MOYOBAMBA</t>
  </si>
  <si>
    <t>013326187_SM_PolideportivoSJSisa</t>
  </si>
  <si>
    <t>EL DORADO</t>
  </si>
  <si>
    <t>SAN JOSE DE SISA</t>
  </si>
  <si>
    <t>013254615_LM_ParqueLosNinos</t>
  </si>
  <si>
    <t>013245853_LA_Galo</t>
  </si>
  <si>
    <t>013243904_LA_Cayalti</t>
  </si>
  <si>
    <t>CAYALTI</t>
  </si>
  <si>
    <t>013185069_CS_ParqueCachimayo</t>
  </si>
  <si>
    <t>013141785_AQ_LosRobles</t>
  </si>
  <si>
    <t>013210633_IC_LuisaDeLasArenas</t>
  </si>
  <si>
    <t>013221712_JU_Genos</t>
  </si>
  <si>
    <t>JUNINI</t>
  </si>
  <si>
    <t>013315823_PN_ModestoBorda</t>
  </si>
  <si>
    <t>SUNAMPE</t>
  </si>
  <si>
    <t>013252909_LM_RealPlazaSantaClara</t>
  </si>
  <si>
    <t>013245850_LA_AhMirafloresDePomalca*</t>
  </si>
  <si>
    <t>POMALCA</t>
  </si>
  <si>
    <t>013303826_PI_Lanchepampa</t>
  </si>
  <si>
    <t>CHALACO</t>
  </si>
  <si>
    <t>013313008_PN_ParqueSelvaAlegre</t>
  </si>
  <si>
    <t>013164065_CA_AltoChota</t>
  </si>
  <si>
    <t>013142994_AQ_PlayaMollendo</t>
  </si>
  <si>
    <t>013121311_AN_HuambachoNuevo</t>
  </si>
  <si>
    <t>SAMANCO</t>
  </si>
  <si>
    <t>013252176_LM_Fontenoy</t>
  </si>
  <si>
    <t>PARAMONGA</t>
  </si>
  <si>
    <t>LATITUDE</t>
  </si>
  <si>
    <t>LONGITUDE</t>
  </si>
  <si>
    <t>ID_ANTENA</t>
  </si>
  <si>
    <t>Cluster</t>
  </si>
  <si>
    <t>B2</t>
  </si>
  <si>
    <t>B1</t>
  </si>
  <si>
    <t>A</t>
  </si>
  <si>
    <t>C1</t>
  </si>
  <si>
    <t>C2</t>
  </si>
  <si>
    <t>name</t>
  </si>
  <si>
    <t>Acción</t>
  </si>
  <si>
    <t>Proyecto Cobertura</t>
  </si>
  <si>
    <t>Proyecto Rollout</t>
  </si>
  <si>
    <t>013252007_LM_Batiment</t>
  </si>
  <si>
    <t>013252351_LM_PalmaAlta</t>
  </si>
  <si>
    <t>013233797_LI_AvenidaEstadio</t>
  </si>
  <si>
    <t>013214233_IC_ElPaltoAdan</t>
  </si>
  <si>
    <t>013245856_LA_CharlesConrra</t>
  </si>
  <si>
    <t>013252360_LM_ElDesierto</t>
  </si>
  <si>
    <t>013213149_IC_InkaHuasi</t>
  </si>
  <si>
    <t>013303629_PI_ViaSalitral</t>
  </si>
  <si>
    <t>013185649_CS_LarapaCusco</t>
  </si>
  <si>
    <t>013243967_LA_Culpon</t>
  </si>
  <si>
    <t>013161286_CA_Bambamarquita</t>
  </si>
  <si>
    <t>013120355_AN_SantaIsabelDeHungria</t>
  </si>
  <si>
    <t>ASIA</t>
  </si>
  <si>
    <t>CASA GRANDE</t>
  </si>
  <si>
    <t>NUEVO IMPERIAL</t>
  </si>
  <si>
    <t>SALITRAL</t>
  </si>
  <si>
    <t>SAN JERONIMO</t>
  </si>
  <si>
    <t>Tipo_Venta</t>
  </si>
  <si>
    <t>013210634_IC_SanPedroPilpa</t>
  </si>
  <si>
    <t>013250753_LM_Chacon</t>
  </si>
  <si>
    <t>013264743_LO_Iberia</t>
  </si>
  <si>
    <t>013164024_CA_MosquetaMollepampa</t>
  </si>
  <si>
    <t>013212550_IC_PlazaCajuca</t>
  </si>
  <si>
    <t>013264747_LO_IglesiaDelNazareno</t>
  </si>
  <si>
    <t>013164477_CA_UtcoCelendin</t>
  </si>
  <si>
    <t>013185788_CS_VillaSanSebastian</t>
  </si>
  <si>
    <t>013141801_AQ_VirgenCopacabana</t>
  </si>
  <si>
    <t>013254043_LM_AvMediaLuna</t>
  </si>
  <si>
    <t>013346131_TU_ParqueDelSalitre</t>
  </si>
  <si>
    <t>013311895_PN_Torocha</t>
  </si>
  <si>
    <t>013214032_IC_Massaro</t>
  </si>
  <si>
    <t>013303030_PI_CerroRucutuyu</t>
  </si>
  <si>
    <t>013345826_TU_EscuelaDePoliciaTumbes</t>
  </si>
  <si>
    <t>013306409_PI_Unimar</t>
  </si>
  <si>
    <t>013210632_IC_TradicionIquena</t>
  </si>
  <si>
    <t>013346126_TU_Pasamayo</t>
  </si>
  <si>
    <t>013313082_PN_ResidencialJuliacaAeropuerto</t>
  </si>
  <si>
    <t>013251093_LM_PuestoDeSaludBuenosAires</t>
  </si>
  <si>
    <t>013214050_IC_Guayabo</t>
  </si>
  <si>
    <t>013283097_MQ_PampaMiramar</t>
  </si>
  <si>
    <t>-76.12</t>
  </si>
  <si>
    <t>UTCO</t>
  </si>
  <si>
    <t>TUMBES</t>
  </si>
  <si>
    <t>SANTO DOMINGO</t>
  </si>
  <si>
    <t>PAITA</t>
  </si>
  <si>
    <t>PATIVILC</t>
  </si>
  <si>
    <t>MOQUEGUA</t>
  </si>
  <si>
    <t>ILO</t>
  </si>
  <si>
    <t>Nuevo</t>
  </si>
  <si>
    <t>Venta Intensiva</t>
  </si>
  <si>
    <t>Venta organica</t>
  </si>
  <si>
    <t>No se recomienda</t>
  </si>
  <si>
    <t>Receptivo</t>
  </si>
  <si>
    <t>Russel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</si>
</sst>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FFFFFF"/>
      <name val="Aptos"/>
      <family val="2"/>
    </font>
    <font>
      <sz val="11"/>
      <color theme="1"/>
      <name val="Aptos"/>
      <family val="2"/>
    </font>
    <font>
      <sz val="12"/>
      <color rgb="FF00000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2" fillId="3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 readingOrder="1"/>
    </xf>
    <xf numFmtId="0" fontId="3" fillId="0" borderId="3" xfId="0" applyFont="1" applyBorder="1" applyAlignment="1">
      <alignment horizontal="center" vertical="center" readingOrder="1"/>
    </xf>
    <xf numFmtId="0" fontId="1" fillId="2" borderId="4" xfId="0" applyFont="1" applyFill="1" applyBorder="1" applyAlignment="1">
      <alignment horizontal="center" vertical="center" wrapText="1" readingOrder="1"/>
    </xf>
    <xf numFmtId="0" fontId="3" fillId="3" borderId="3" xfId="0" applyFont="1" applyFill="1" applyBorder="1" applyAlignment="1">
      <alignment horizontal="center" vertical="center" readingOrder="1"/>
    </xf>
    <xf numFmtId="14" fontId="3" fillId="3" borderId="3" xfId="0" applyNumberFormat="1" applyFont="1" applyFill="1" applyBorder="1" applyAlignment="1">
      <alignment horizontal="center" vertical="center" readingOrder="1"/>
    </xf>
    <xf numFmtId="0" fontId="3" fillId="3" borderId="3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BC65E-14EF-4E55-93FC-E31F4273093C}">
  <dimension ref="A1:O375"/>
  <sheetViews>
    <sheetView tabSelected="1" topLeftCell="D1" zoomScale="79" zoomScaleNormal="70" workbookViewId="0">
      <selection activeCell="O1" sqref="O1"/>
    </sheetView>
  </sheetViews>
  <sheetFormatPr baseColWidth="10" defaultRowHeight="14.4" x14ac:dyDescent="0.3"/>
  <cols>
    <col min="2" max="2" width="26.21875" bestFit="1" customWidth="1"/>
    <col min="3" max="3" width="44" bestFit="1" customWidth="1"/>
    <col min="4" max="4" width="44" customWidth="1"/>
    <col min="5" max="5" width="12.21875" bestFit="1" customWidth="1"/>
    <col min="6" max="6" width="21.21875" bestFit="1" customWidth="1"/>
    <col min="7" max="7" width="10.109375" customWidth="1"/>
    <col min="8" max="8" width="11.5546875" customWidth="1"/>
    <col min="9" max="9" width="13.6640625" customWidth="1"/>
    <col min="10" max="10" width="17" bestFit="1" customWidth="1"/>
    <col min="11" max="11" width="25.88671875" bestFit="1" customWidth="1"/>
    <col min="12" max="12" width="34.109375" bestFit="1" customWidth="1"/>
    <col min="14" max="14" width="15.77734375" bestFit="1" customWidth="1"/>
    <col min="15" max="15" width="20.88671875" customWidth="1"/>
  </cols>
  <sheetData>
    <row r="1" spans="1:15" ht="31.2" x14ac:dyDescent="0.3">
      <c r="A1" s="1" t="s">
        <v>0</v>
      </c>
      <c r="B1" s="2" t="s">
        <v>1</v>
      </c>
      <c r="C1" s="2" t="s">
        <v>590</v>
      </c>
      <c r="D1" s="2" t="s">
        <v>597</v>
      </c>
      <c r="E1" s="2" t="s">
        <v>2</v>
      </c>
      <c r="F1" s="2" t="s">
        <v>3</v>
      </c>
      <c r="G1" s="2" t="s">
        <v>4</v>
      </c>
      <c r="H1" s="2" t="s">
        <v>588</v>
      </c>
      <c r="I1" s="2" t="s">
        <v>589</v>
      </c>
      <c r="J1" s="2" t="s">
        <v>5</v>
      </c>
      <c r="K1" s="2" t="s">
        <v>6</v>
      </c>
      <c r="L1" s="2" t="s">
        <v>7</v>
      </c>
      <c r="M1" s="6" t="s">
        <v>591</v>
      </c>
      <c r="N1" s="6" t="s">
        <v>618</v>
      </c>
      <c r="O1" s="6" t="s">
        <v>598</v>
      </c>
    </row>
    <row r="2" spans="1:15" ht="15.6" x14ac:dyDescent="0.3">
      <c r="A2" s="3">
        <v>1</v>
      </c>
      <c r="B2" s="4" t="s">
        <v>8</v>
      </c>
      <c r="C2" s="5" t="s">
        <v>9</v>
      </c>
      <c r="D2" s="5" t="str">
        <f>+RIGHT(C2,LEN(C2)-10)</f>
        <v>LM_MegaPuertoChancay</v>
      </c>
      <c r="E2" s="7" t="s">
        <v>10</v>
      </c>
      <c r="F2" s="8">
        <v>45673</v>
      </c>
      <c r="G2" s="9" t="s">
        <v>11</v>
      </c>
      <c r="H2" s="7">
        <v>-11.591699999999999</v>
      </c>
      <c r="I2" s="7">
        <v>-77.272300000000001</v>
      </c>
      <c r="J2" s="7" t="s">
        <v>12</v>
      </c>
      <c r="K2" s="7" t="s">
        <v>13</v>
      </c>
      <c r="L2" s="7" t="s">
        <v>14</v>
      </c>
      <c r="M2" s="10" t="s">
        <v>594</v>
      </c>
      <c r="N2" t="s">
        <v>650</v>
      </c>
      <c r="O2" s="10" t="s">
        <v>653</v>
      </c>
    </row>
    <row r="3" spans="1:15" ht="15.6" x14ac:dyDescent="0.3">
      <c r="A3" s="3">
        <v>2</v>
      </c>
      <c r="B3" s="4" t="s">
        <v>8</v>
      </c>
      <c r="C3" s="5" t="s">
        <v>15</v>
      </c>
      <c r="D3" s="5" t="str">
        <f t="shared" ref="D3:D8" si="0">+RIGHT(C3,LEN(C3)-10)</f>
        <v>LM_Kalua</v>
      </c>
      <c r="E3" s="7" t="s">
        <v>10</v>
      </c>
      <c r="F3" s="8">
        <v>45677</v>
      </c>
      <c r="G3" s="9" t="s">
        <v>11</v>
      </c>
      <c r="H3" s="7">
        <v>-12.5846</v>
      </c>
      <c r="I3" s="7">
        <v>-76.699799999999996</v>
      </c>
      <c r="J3" s="7" t="s">
        <v>12</v>
      </c>
      <c r="K3" s="7" t="s">
        <v>16</v>
      </c>
      <c r="L3" s="7" t="s">
        <v>17</v>
      </c>
      <c r="M3" s="10" t="s">
        <v>594</v>
      </c>
      <c r="N3" t="s">
        <v>651</v>
      </c>
      <c r="O3" s="10" t="s">
        <v>653</v>
      </c>
    </row>
    <row r="4" spans="1:15" ht="15.6" x14ac:dyDescent="0.3">
      <c r="A4" s="3">
        <v>3</v>
      </c>
      <c r="B4" s="4" t="s">
        <v>18</v>
      </c>
      <c r="C4" s="5" t="s">
        <v>19</v>
      </c>
      <c r="D4" s="5" t="str">
        <f t="shared" si="0"/>
        <v>AQ_RicoPollo</v>
      </c>
      <c r="E4" s="7" t="s">
        <v>10</v>
      </c>
      <c r="F4" s="8">
        <v>45711</v>
      </c>
      <c r="G4" s="9" t="s">
        <v>11</v>
      </c>
      <c r="H4" s="7">
        <v>-16.391200000000001</v>
      </c>
      <c r="I4" s="7">
        <v>-71.583600000000004</v>
      </c>
      <c r="J4" s="7" t="s">
        <v>20</v>
      </c>
      <c r="K4" s="7" t="s">
        <v>20</v>
      </c>
      <c r="L4" s="7" t="s">
        <v>21</v>
      </c>
      <c r="M4" s="10" t="s">
        <v>592</v>
      </c>
      <c r="N4" t="s">
        <v>651</v>
      </c>
      <c r="O4" s="10" t="s">
        <v>653</v>
      </c>
    </row>
    <row r="5" spans="1:15" ht="15.6" x14ac:dyDescent="0.3">
      <c r="A5" s="3">
        <v>4</v>
      </c>
      <c r="B5" s="4" t="s">
        <v>8</v>
      </c>
      <c r="C5" s="5" t="s">
        <v>22</v>
      </c>
      <c r="D5" s="5" t="str">
        <f t="shared" si="0"/>
        <v>JU_Gudelia</v>
      </c>
      <c r="E5" s="7" t="s">
        <v>10</v>
      </c>
      <c r="F5" s="8">
        <v>45737</v>
      </c>
      <c r="G5" s="9" t="s">
        <v>11</v>
      </c>
      <c r="H5" s="7">
        <v>-12.0487</v>
      </c>
      <c r="I5" s="7">
        <v>-75.200699999999998</v>
      </c>
      <c r="J5" s="7" t="s">
        <v>23</v>
      </c>
      <c r="K5" s="7" t="s">
        <v>24</v>
      </c>
      <c r="L5" s="7" t="s">
        <v>24</v>
      </c>
      <c r="M5" s="10" t="s">
        <v>593</v>
      </c>
      <c r="N5" t="s">
        <v>650</v>
      </c>
      <c r="O5" s="10" t="s">
        <v>653</v>
      </c>
    </row>
    <row r="6" spans="1:15" ht="15.6" x14ac:dyDescent="0.3">
      <c r="A6" s="3">
        <v>5</v>
      </c>
      <c r="B6" s="4" t="s">
        <v>8</v>
      </c>
      <c r="C6" s="5" t="s">
        <v>25</v>
      </c>
      <c r="D6" s="5" t="str">
        <f t="shared" si="0"/>
        <v>CS_AvArequipaDeSicuani</v>
      </c>
      <c r="E6" s="7" t="s">
        <v>10</v>
      </c>
      <c r="F6" s="8">
        <v>45749</v>
      </c>
      <c r="G6" s="9" t="s">
        <v>11</v>
      </c>
      <c r="H6" s="7">
        <v>-14.282299999999999</v>
      </c>
      <c r="I6" s="7">
        <v>-71.228300000000004</v>
      </c>
      <c r="J6" s="7" t="s">
        <v>26</v>
      </c>
      <c r="K6" s="7" t="s">
        <v>27</v>
      </c>
      <c r="L6" s="7" t="s">
        <v>28</v>
      </c>
      <c r="M6" s="10" t="s">
        <v>592</v>
      </c>
      <c r="N6" t="s">
        <v>650</v>
      </c>
      <c r="O6" s="10" t="s">
        <v>653</v>
      </c>
    </row>
    <row r="7" spans="1:15" ht="15.6" x14ac:dyDescent="0.3">
      <c r="A7" s="3">
        <v>6</v>
      </c>
      <c r="B7" s="4" t="s">
        <v>18</v>
      </c>
      <c r="C7" s="5" t="s">
        <v>29</v>
      </c>
      <c r="D7" s="5" t="str">
        <f t="shared" si="0"/>
        <v>AQ_Pedregalito</v>
      </c>
      <c r="E7" s="7" t="s">
        <v>10</v>
      </c>
      <c r="F7" s="8">
        <v>45763</v>
      </c>
      <c r="G7" s="9" t="s">
        <v>11</v>
      </c>
      <c r="H7" s="7">
        <v>-16.373699999999999</v>
      </c>
      <c r="I7" s="7">
        <v>-72.193399999999997</v>
      </c>
      <c r="J7" s="7" t="s">
        <v>20</v>
      </c>
      <c r="K7" s="7" t="s">
        <v>30</v>
      </c>
      <c r="L7" s="7" t="s">
        <v>31</v>
      </c>
      <c r="M7" s="10" t="s">
        <v>592</v>
      </c>
      <c r="N7" t="s">
        <v>651</v>
      </c>
      <c r="O7" s="10" t="s">
        <v>653</v>
      </c>
    </row>
    <row r="8" spans="1:15" ht="15.6" x14ac:dyDescent="0.3">
      <c r="A8" s="3">
        <v>7</v>
      </c>
      <c r="B8" s="4" t="s">
        <v>18</v>
      </c>
      <c r="C8" s="5" t="s">
        <v>32</v>
      </c>
      <c r="D8" s="5" t="str">
        <f t="shared" si="0"/>
        <v>AQ_RosarioApipa</v>
      </c>
      <c r="E8" s="7" t="s">
        <v>10</v>
      </c>
      <c r="F8" s="8">
        <v>45764</v>
      </c>
      <c r="G8" s="9" t="s">
        <v>11</v>
      </c>
      <c r="H8" s="7">
        <v>-16.350200000000001</v>
      </c>
      <c r="I8" s="7">
        <v>-71.623999999999995</v>
      </c>
      <c r="J8" s="7" t="s">
        <v>20</v>
      </c>
      <c r="K8" s="7" t="s">
        <v>20</v>
      </c>
      <c r="L8" s="7" t="s">
        <v>21</v>
      </c>
      <c r="M8" s="10" t="s">
        <v>592</v>
      </c>
      <c r="N8" t="s">
        <v>651</v>
      </c>
      <c r="O8" s="10" t="s">
        <v>653</v>
      </c>
    </row>
    <row r="9" spans="1:15" ht="15.6" x14ac:dyDescent="0.3">
      <c r="A9" s="3">
        <v>8</v>
      </c>
      <c r="B9" s="4" t="s">
        <v>8</v>
      </c>
      <c r="C9" s="5" t="s">
        <v>33</v>
      </c>
      <c r="D9" s="5" t="str">
        <f t="shared" ref="D9:D72" si="1">+RIGHT(C9,LEN(C9)-10)</f>
        <v>LH_PlantaAmarilis</v>
      </c>
      <c r="E9" s="7" t="s">
        <v>10</v>
      </c>
      <c r="F9" s="8">
        <v>45770</v>
      </c>
      <c r="G9" s="9" t="s">
        <v>11</v>
      </c>
      <c r="H9" s="7">
        <v>-9.8896599999999992</v>
      </c>
      <c r="I9" s="7">
        <v>-76.214200000000005</v>
      </c>
      <c r="J9" s="7" t="s">
        <v>34</v>
      </c>
      <c r="K9" s="7" t="s">
        <v>34</v>
      </c>
      <c r="L9" s="7" t="s">
        <v>35</v>
      </c>
      <c r="M9" s="10" t="s">
        <v>595</v>
      </c>
      <c r="N9" t="s">
        <v>650</v>
      </c>
      <c r="O9" s="10" t="s">
        <v>654</v>
      </c>
    </row>
    <row r="10" spans="1:15" ht="15.6" x14ac:dyDescent="0.3">
      <c r="A10" s="3">
        <v>9</v>
      </c>
      <c r="B10" s="4" t="s">
        <v>18</v>
      </c>
      <c r="C10" s="5" t="s">
        <v>36</v>
      </c>
      <c r="D10" s="5" t="str">
        <f t="shared" si="1"/>
        <v>AY_SanJuanBautista</v>
      </c>
      <c r="E10" s="7" t="s">
        <v>10</v>
      </c>
      <c r="F10" s="8">
        <v>45782</v>
      </c>
      <c r="G10" s="9" t="s">
        <v>11</v>
      </c>
      <c r="H10" s="7">
        <v>-13.1911</v>
      </c>
      <c r="I10" s="7">
        <v>-74.204099999999997</v>
      </c>
      <c r="J10" s="7" t="s">
        <v>37</v>
      </c>
      <c r="K10" s="7" t="s">
        <v>38</v>
      </c>
      <c r="L10" s="7" t="s">
        <v>39</v>
      </c>
      <c r="M10" s="10" t="s">
        <v>596</v>
      </c>
      <c r="N10" t="s">
        <v>651</v>
      </c>
      <c r="O10" s="10" t="s">
        <v>653</v>
      </c>
    </row>
    <row r="11" spans="1:15" ht="15.6" x14ac:dyDescent="0.3">
      <c r="A11" s="3">
        <v>10</v>
      </c>
      <c r="B11" s="4" t="s">
        <v>18</v>
      </c>
      <c r="C11" s="5" t="s">
        <v>40</v>
      </c>
      <c r="D11" s="5" t="str">
        <f t="shared" si="1"/>
        <v>JU_OlayaDeJunin</v>
      </c>
      <c r="E11" s="7" t="s">
        <v>10</v>
      </c>
      <c r="F11" s="8">
        <v>45782</v>
      </c>
      <c r="G11" s="9" t="s">
        <v>11</v>
      </c>
      <c r="H11" s="7">
        <v>-12.0982</v>
      </c>
      <c r="I11" s="7">
        <v>-75.194199999999995</v>
      </c>
      <c r="J11" s="7" t="s">
        <v>23</v>
      </c>
      <c r="K11" s="7" t="s">
        <v>24</v>
      </c>
      <c r="L11" s="7" t="s">
        <v>41</v>
      </c>
      <c r="M11" s="10" t="s">
        <v>593</v>
      </c>
      <c r="N11" t="s">
        <v>651</v>
      </c>
      <c r="O11" s="10" t="s">
        <v>653</v>
      </c>
    </row>
    <row r="12" spans="1:15" ht="15.6" x14ac:dyDescent="0.3">
      <c r="A12" s="3">
        <v>11</v>
      </c>
      <c r="B12" s="4" t="s">
        <v>18</v>
      </c>
      <c r="C12" s="5" t="s">
        <v>42</v>
      </c>
      <c r="D12" s="5" t="str">
        <f t="shared" si="1"/>
        <v>LM_RioSecoDeCarabayllo</v>
      </c>
      <c r="E12" s="7" t="s">
        <v>10</v>
      </c>
      <c r="F12" s="8">
        <v>45783</v>
      </c>
      <c r="G12" s="9" t="s">
        <v>11</v>
      </c>
      <c r="H12" s="7">
        <v>-11.7864</v>
      </c>
      <c r="I12" s="7">
        <v>-76.983000000000004</v>
      </c>
      <c r="J12" s="7" t="s">
        <v>12</v>
      </c>
      <c r="K12" s="7" t="s">
        <v>12</v>
      </c>
      <c r="L12" s="7" t="s">
        <v>43</v>
      </c>
      <c r="M12" s="10" t="s">
        <v>594</v>
      </c>
      <c r="N12" t="s">
        <v>650</v>
      </c>
      <c r="O12" s="10" t="s">
        <v>653</v>
      </c>
    </row>
    <row r="13" spans="1:15" ht="15.6" x14ac:dyDescent="0.3">
      <c r="A13" s="3">
        <v>12</v>
      </c>
      <c r="B13" s="4" t="s">
        <v>18</v>
      </c>
      <c r="C13" s="5" t="s">
        <v>44</v>
      </c>
      <c r="D13" s="5" t="str">
        <f t="shared" si="1"/>
        <v>AQ_CasaRosada</v>
      </c>
      <c r="E13" s="7" t="s">
        <v>10</v>
      </c>
      <c r="F13" s="8">
        <v>45784</v>
      </c>
      <c r="G13" s="9" t="s">
        <v>11</v>
      </c>
      <c r="H13" s="7">
        <v>-16.4145</v>
      </c>
      <c r="I13" s="7">
        <v>-71.467799999999997</v>
      </c>
      <c r="J13" s="7" t="s">
        <v>20</v>
      </c>
      <c r="K13" s="7" t="s">
        <v>20</v>
      </c>
      <c r="L13" s="7" t="s">
        <v>45</v>
      </c>
      <c r="M13" s="10" t="s">
        <v>592</v>
      </c>
      <c r="N13" t="s">
        <v>650</v>
      </c>
      <c r="O13" s="10" t="s">
        <v>653</v>
      </c>
    </row>
    <row r="14" spans="1:15" ht="15.6" x14ac:dyDescent="0.3">
      <c r="A14" s="3">
        <v>13</v>
      </c>
      <c r="B14" s="4" t="s">
        <v>8</v>
      </c>
      <c r="C14" s="5" t="s">
        <v>46</v>
      </c>
      <c r="D14" s="5" t="str">
        <f t="shared" si="1"/>
        <v>JU_SatipoBorde</v>
      </c>
      <c r="E14" s="7" t="s">
        <v>10</v>
      </c>
      <c r="F14" s="8">
        <v>45784</v>
      </c>
      <c r="G14" s="9" t="s">
        <v>11</v>
      </c>
      <c r="H14" s="7">
        <v>-11.239000000000001</v>
      </c>
      <c r="I14" s="7">
        <v>-74.637299999999996</v>
      </c>
      <c r="J14" s="7" t="s">
        <v>23</v>
      </c>
      <c r="K14" s="7" t="s">
        <v>47</v>
      </c>
      <c r="L14" s="7" t="s">
        <v>47</v>
      </c>
      <c r="M14" s="10" t="s">
        <v>593</v>
      </c>
      <c r="N14" t="s">
        <v>650</v>
      </c>
      <c r="O14" s="10" t="s">
        <v>653</v>
      </c>
    </row>
    <row r="15" spans="1:15" ht="15.6" x14ac:dyDescent="0.3">
      <c r="A15" s="3">
        <v>14</v>
      </c>
      <c r="B15" s="4" t="s">
        <v>18</v>
      </c>
      <c r="C15" s="5" t="s">
        <v>48</v>
      </c>
      <c r="D15" s="5" t="str">
        <f t="shared" si="1"/>
        <v>UY_ElRadar</v>
      </c>
      <c r="E15" s="7" t="s">
        <v>10</v>
      </c>
      <c r="F15" s="8">
        <v>45784</v>
      </c>
      <c r="G15" s="9" t="s">
        <v>11</v>
      </c>
      <c r="H15" s="7">
        <v>-8.4008900000000004</v>
      </c>
      <c r="I15" s="7">
        <v>-74.583500000000001</v>
      </c>
      <c r="J15" s="7" t="s">
        <v>49</v>
      </c>
      <c r="K15" s="7" t="s">
        <v>50</v>
      </c>
      <c r="L15" s="7" t="s">
        <v>51</v>
      </c>
      <c r="M15" s="10" t="s">
        <v>595</v>
      </c>
      <c r="N15" t="s">
        <v>651</v>
      </c>
      <c r="O15" s="10" t="s">
        <v>653</v>
      </c>
    </row>
    <row r="16" spans="1:15" ht="15.6" x14ac:dyDescent="0.3">
      <c r="A16" s="3">
        <v>15</v>
      </c>
      <c r="B16" s="4" t="s">
        <v>18</v>
      </c>
      <c r="C16" s="5" t="s">
        <v>52</v>
      </c>
      <c r="D16" s="5" t="str">
        <f t="shared" si="1"/>
        <v>PI_BernaSilva</v>
      </c>
      <c r="E16" s="7" t="s">
        <v>10</v>
      </c>
      <c r="F16" s="8">
        <v>45788</v>
      </c>
      <c r="G16" s="9" t="s">
        <v>11</v>
      </c>
      <c r="H16" s="7">
        <v>-5.3925799999999997</v>
      </c>
      <c r="I16" s="7">
        <v>-80.7393</v>
      </c>
      <c r="J16" s="7" t="s">
        <v>53</v>
      </c>
      <c r="K16" s="7" t="s">
        <v>53</v>
      </c>
      <c r="L16" s="7" t="s">
        <v>54</v>
      </c>
      <c r="M16" s="10" t="s">
        <v>593</v>
      </c>
      <c r="N16" t="s">
        <v>650</v>
      </c>
      <c r="O16" s="10" t="s">
        <v>653</v>
      </c>
    </row>
    <row r="17" spans="1:15" ht="15.6" x14ac:dyDescent="0.3">
      <c r="A17" s="3">
        <v>16</v>
      </c>
      <c r="B17" s="4" t="s">
        <v>18</v>
      </c>
      <c r="C17" s="5" t="s">
        <v>55</v>
      </c>
      <c r="D17" s="5" t="str">
        <f t="shared" si="1"/>
        <v>PI_CementerioDeCatacaos</v>
      </c>
      <c r="E17" s="7" t="s">
        <v>10</v>
      </c>
      <c r="F17" s="8">
        <v>45788</v>
      </c>
      <c r="G17" s="9" t="s">
        <v>11</v>
      </c>
      <c r="H17" s="7">
        <v>-5.266</v>
      </c>
      <c r="I17" s="7">
        <v>-80.667500000000004</v>
      </c>
      <c r="J17" s="7" t="s">
        <v>53</v>
      </c>
      <c r="K17" s="7" t="s">
        <v>53</v>
      </c>
      <c r="L17" s="7" t="s">
        <v>56</v>
      </c>
      <c r="M17" s="10" t="s">
        <v>593</v>
      </c>
      <c r="N17" t="s">
        <v>650</v>
      </c>
      <c r="O17" s="10" t="s">
        <v>653</v>
      </c>
    </row>
    <row r="18" spans="1:15" ht="15.6" x14ac:dyDescent="0.3">
      <c r="A18" s="3">
        <v>17</v>
      </c>
      <c r="B18" s="4" t="s">
        <v>18</v>
      </c>
      <c r="C18" s="5" t="s">
        <v>57</v>
      </c>
      <c r="D18" s="5" t="str">
        <f t="shared" si="1"/>
        <v>LI_Talambo</v>
      </c>
      <c r="E18" s="7" t="s">
        <v>10</v>
      </c>
      <c r="F18" s="8">
        <v>45788</v>
      </c>
      <c r="G18" s="9" t="s">
        <v>11</v>
      </c>
      <c r="H18" s="7">
        <v>-7.2413299999999996</v>
      </c>
      <c r="I18" s="7">
        <v>-79.402500000000003</v>
      </c>
      <c r="J18" s="7" t="s">
        <v>58</v>
      </c>
      <c r="K18" s="7" t="s">
        <v>59</v>
      </c>
      <c r="L18" s="7" t="s">
        <v>59</v>
      </c>
      <c r="M18" s="10" t="s">
        <v>593</v>
      </c>
      <c r="N18" t="s">
        <v>650</v>
      </c>
      <c r="O18" s="10" t="s">
        <v>653</v>
      </c>
    </row>
    <row r="19" spans="1:15" ht="15.6" x14ac:dyDescent="0.3">
      <c r="A19" s="3">
        <v>18</v>
      </c>
      <c r="B19" s="4" t="s">
        <v>18</v>
      </c>
      <c r="C19" s="5" t="s">
        <v>60</v>
      </c>
      <c r="D19" s="5" t="str">
        <f t="shared" si="1"/>
        <v>PI_AlamedaLosFicus</v>
      </c>
      <c r="E19" s="7" t="s">
        <v>10</v>
      </c>
      <c r="F19" s="8">
        <v>45790</v>
      </c>
      <c r="G19" s="9" t="s">
        <v>11</v>
      </c>
      <c r="H19" s="7">
        <v>-5.1728399999999999</v>
      </c>
      <c r="I19" s="7">
        <v>-80.609499999999997</v>
      </c>
      <c r="J19" s="7" t="s">
        <v>53</v>
      </c>
      <c r="K19" s="7" t="s">
        <v>53</v>
      </c>
      <c r="L19" s="7" t="s">
        <v>61</v>
      </c>
      <c r="M19" s="10" t="s">
        <v>593</v>
      </c>
      <c r="N19" t="s">
        <v>651</v>
      </c>
      <c r="O19" s="10" t="s">
        <v>653</v>
      </c>
    </row>
    <row r="20" spans="1:15" ht="15.6" x14ac:dyDescent="0.3">
      <c r="A20" s="3">
        <v>19</v>
      </c>
      <c r="B20" s="4" t="s">
        <v>18</v>
      </c>
      <c r="C20" s="5" t="s">
        <v>62</v>
      </c>
      <c r="D20" s="5" t="str">
        <f t="shared" si="1"/>
        <v>LI_EstadioPaijan</v>
      </c>
      <c r="E20" s="7" t="s">
        <v>10</v>
      </c>
      <c r="F20" s="8">
        <v>45790</v>
      </c>
      <c r="G20" s="9" t="s">
        <v>11</v>
      </c>
      <c r="H20" s="7">
        <v>-7.7221299999999999</v>
      </c>
      <c r="I20" s="7">
        <v>-79.3078</v>
      </c>
      <c r="J20" s="7" t="s">
        <v>58</v>
      </c>
      <c r="K20" s="7" t="s">
        <v>63</v>
      </c>
      <c r="L20" s="7" t="s">
        <v>64</v>
      </c>
      <c r="M20" s="10" t="s">
        <v>593</v>
      </c>
      <c r="N20" t="s">
        <v>650</v>
      </c>
      <c r="O20" s="10" t="s">
        <v>653</v>
      </c>
    </row>
    <row r="21" spans="1:15" ht="15.6" x14ac:dyDescent="0.3">
      <c r="A21" s="3">
        <v>20</v>
      </c>
      <c r="B21" s="4" t="s">
        <v>18</v>
      </c>
      <c r="C21" s="5" t="s">
        <v>65</v>
      </c>
      <c r="D21" s="5" t="str">
        <f t="shared" si="1"/>
        <v>AQ_MercadoMajes</v>
      </c>
      <c r="E21" s="7" t="s">
        <v>10</v>
      </c>
      <c r="F21" s="8">
        <v>45790</v>
      </c>
      <c r="G21" s="9" t="s">
        <v>11</v>
      </c>
      <c r="H21" s="7">
        <v>-16.3383</v>
      </c>
      <c r="I21" s="7">
        <v>-72.194699999999997</v>
      </c>
      <c r="J21" s="7" t="s">
        <v>20</v>
      </c>
      <c r="K21" s="7" t="s">
        <v>30</v>
      </c>
      <c r="L21" s="7" t="s">
        <v>31</v>
      </c>
      <c r="M21" s="10" t="s">
        <v>592</v>
      </c>
      <c r="N21" t="s">
        <v>650</v>
      </c>
      <c r="O21" s="10" t="s">
        <v>653</v>
      </c>
    </row>
    <row r="22" spans="1:15" ht="15.6" x14ac:dyDescent="0.3">
      <c r="A22" s="3">
        <v>21</v>
      </c>
      <c r="B22" s="4" t="s">
        <v>18</v>
      </c>
      <c r="C22" s="5" t="s">
        <v>66</v>
      </c>
      <c r="D22" s="5" t="str">
        <f t="shared" si="1"/>
        <v>LM_LeonesLurigancho</v>
      </c>
      <c r="E22" s="7" t="s">
        <v>10</v>
      </c>
      <c r="F22" s="8">
        <v>45790</v>
      </c>
      <c r="G22" s="9" t="s">
        <v>11</v>
      </c>
      <c r="H22" s="7">
        <v>-11.9892</v>
      </c>
      <c r="I22" s="7">
        <v>-76.9452</v>
      </c>
      <c r="J22" s="7" t="s">
        <v>12</v>
      </c>
      <c r="K22" s="7" t="s">
        <v>12</v>
      </c>
      <c r="L22" s="7" t="s">
        <v>67</v>
      </c>
      <c r="M22" s="10" t="s">
        <v>594</v>
      </c>
      <c r="N22" t="s">
        <v>651</v>
      </c>
      <c r="O22" s="10" t="s">
        <v>653</v>
      </c>
    </row>
    <row r="23" spans="1:15" ht="15.6" x14ac:dyDescent="0.3">
      <c r="A23" s="3">
        <v>22</v>
      </c>
      <c r="B23" s="4" t="s">
        <v>18</v>
      </c>
      <c r="C23" s="5" t="s">
        <v>68</v>
      </c>
      <c r="D23" s="5" t="str">
        <f t="shared" si="1"/>
        <v>LM_MacropolisLurin</v>
      </c>
      <c r="E23" s="7" t="s">
        <v>10</v>
      </c>
      <c r="F23" s="8">
        <v>45790</v>
      </c>
      <c r="G23" s="9" t="s">
        <v>11</v>
      </c>
      <c r="H23" s="7">
        <v>-12.256500000000001</v>
      </c>
      <c r="I23" s="7">
        <v>-76.820899999999995</v>
      </c>
      <c r="J23" s="7" t="s">
        <v>12</v>
      </c>
      <c r="K23" s="7" t="s">
        <v>12</v>
      </c>
      <c r="L23" s="7" t="s">
        <v>69</v>
      </c>
      <c r="M23" s="10" t="s">
        <v>594</v>
      </c>
      <c r="N23" t="s">
        <v>650</v>
      </c>
      <c r="O23" s="10" t="s">
        <v>653</v>
      </c>
    </row>
    <row r="24" spans="1:15" ht="15.6" x14ac:dyDescent="0.3">
      <c r="A24" s="3">
        <v>23</v>
      </c>
      <c r="B24" s="4" t="s">
        <v>18</v>
      </c>
      <c r="C24" s="5" t="s">
        <v>70</v>
      </c>
      <c r="D24" s="5" t="str">
        <f t="shared" si="1"/>
        <v>LA_JuanVelazcoDePimentel</v>
      </c>
      <c r="E24" s="7" t="s">
        <v>10</v>
      </c>
      <c r="F24" s="8">
        <v>45790</v>
      </c>
      <c r="G24" s="9" t="s">
        <v>11</v>
      </c>
      <c r="H24" s="7">
        <v>-6.7654399999999999</v>
      </c>
      <c r="I24" s="7">
        <v>-79.900199999999998</v>
      </c>
      <c r="J24" s="7" t="s">
        <v>71</v>
      </c>
      <c r="K24" s="7" t="s">
        <v>72</v>
      </c>
      <c r="L24" s="7" t="s">
        <v>73</v>
      </c>
      <c r="M24" s="10" t="s">
        <v>593</v>
      </c>
      <c r="N24" t="s">
        <v>650</v>
      </c>
      <c r="O24" s="10" t="s">
        <v>653</v>
      </c>
    </row>
    <row r="25" spans="1:15" ht="15.6" x14ac:dyDescent="0.3">
      <c r="A25" s="3">
        <v>24</v>
      </c>
      <c r="B25" s="4" t="s">
        <v>18</v>
      </c>
      <c r="C25" s="5" t="s">
        <v>74</v>
      </c>
      <c r="D25" s="5" t="str">
        <f t="shared" si="1"/>
        <v>LA_Ferre</v>
      </c>
      <c r="E25" s="7" t="s">
        <v>10</v>
      </c>
      <c r="F25" s="8">
        <v>45792</v>
      </c>
      <c r="G25" s="9" t="s">
        <v>11</v>
      </c>
      <c r="H25" s="7">
        <v>-6.8829200000000004</v>
      </c>
      <c r="I25" s="7">
        <v>-79.869799999999998</v>
      </c>
      <c r="J25" s="7" t="s">
        <v>71</v>
      </c>
      <c r="K25" s="7" t="s">
        <v>72</v>
      </c>
      <c r="L25" s="7" t="s">
        <v>75</v>
      </c>
      <c r="M25" s="10" t="s">
        <v>593</v>
      </c>
      <c r="N25" t="s">
        <v>650</v>
      </c>
      <c r="O25" s="10" t="s">
        <v>653</v>
      </c>
    </row>
    <row r="26" spans="1:15" ht="15.6" x14ac:dyDescent="0.3">
      <c r="A26" s="3">
        <v>25</v>
      </c>
      <c r="B26" s="4" t="s">
        <v>18</v>
      </c>
      <c r="C26" s="5" t="s">
        <v>76</v>
      </c>
      <c r="D26" s="5" t="str">
        <f t="shared" si="1"/>
        <v>LM_LosNaturales</v>
      </c>
      <c r="E26" s="7" t="s">
        <v>10</v>
      </c>
      <c r="F26" s="8">
        <v>45796</v>
      </c>
      <c r="G26" s="9" t="s">
        <v>11</v>
      </c>
      <c r="H26" s="7">
        <v>-11.4876</v>
      </c>
      <c r="I26" s="7">
        <v>-77.205399999999997</v>
      </c>
      <c r="J26" s="7" t="s">
        <v>12</v>
      </c>
      <c r="K26" s="7" t="s">
        <v>13</v>
      </c>
      <c r="L26" s="7" t="s">
        <v>13</v>
      </c>
      <c r="M26" s="10" t="s">
        <v>594</v>
      </c>
      <c r="N26" t="s">
        <v>650</v>
      </c>
      <c r="O26" s="10" t="s">
        <v>653</v>
      </c>
    </row>
    <row r="27" spans="1:15" ht="15.6" x14ac:dyDescent="0.3">
      <c r="A27" s="3">
        <v>26</v>
      </c>
      <c r="B27" s="4" t="s">
        <v>18</v>
      </c>
      <c r="C27" s="5" t="s">
        <v>77</v>
      </c>
      <c r="D27" s="5" t="str">
        <f t="shared" si="1"/>
        <v>PI_SantaSofiaSullana</v>
      </c>
      <c r="E27" s="7" t="s">
        <v>10</v>
      </c>
      <c r="F27" s="8">
        <v>45797</v>
      </c>
      <c r="G27" s="9" t="s">
        <v>11</v>
      </c>
      <c r="H27" s="7">
        <v>-4.8826200000000002</v>
      </c>
      <c r="I27" s="7">
        <v>-80.837800000000001</v>
      </c>
      <c r="J27" s="7" t="s">
        <v>53</v>
      </c>
      <c r="K27" s="7" t="s">
        <v>78</v>
      </c>
      <c r="L27" s="7" t="s">
        <v>79</v>
      </c>
      <c r="M27" s="10" t="s">
        <v>593</v>
      </c>
      <c r="N27" t="s">
        <v>650</v>
      </c>
      <c r="O27" s="10" t="s">
        <v>653</v>
      </c>
    </row>
    <row r="28" spans="1:15" ht="15.6" x14ac:dyDescent="0.3">
      <c r="A28" s="3">
        <v>27</v>
      </c>
      <c r="B28" s="4" t="s">
        <v>18</v>
      </c>
      <c r="C28" s="5" t="s">
        <v>80</v>
      </c>
      <c r="D28" s="5" t="str">
        <f t="shared" si="1"/>
        <v>CA_ManantialesCajamarca</v>
      </c>
      <c r="E28" s="7" t="s">
        <v>10</v>
      </c>
      <c r="F28" s="8">
        <v>45803</v>
      </c>
      <c r="G28" s="9" t="s">
        <v>11</v>
      </c>
      <c r="H28" s="7">
        <v>-7.1668200000000004</v>
      </c>
      <c r="I28" s="7">
        <v>-78.514799999999994</v>
      </c>
      <c r="J28" s="7" t="s">
        <v>81</v>
      </c>
      <c r="K28" s="7" t="s">
        <v>81</v>
      </c>
      <c r="L28" s="7" t="s">
        <v>81</v>
      </c>
      <c r="M28" s="10" t="s">
        <v>592</v>
      </c>
      <c r="N28" t="s">
        <v>651</v>
      </c>
      <c r="O28" s="10" t="s">
        <v>653</v>
      </c>
    </row>
    <row r="29" spans="1:15" ht="15.6" x14ac:dyDescent="0.3">
      <c r="A29" s="3">
        <v>28</v>
      </c>
      <c r="B29" s="4" t="s">
        <v>18</v>
      </c>
      <c r="C29" s="5" t="s">
        <v>82</v>
      </c>
      <c r="D29" s="5" t="str">
        <f t="shared" si="1"/>
        <v>IC_ProAgroColca</v>
      </c>
      <c r="E29" s="7" t="s">
        <v>10</v>
      </c>
      <c r="F29" s="8">
        <v>45804</v>
      </c>
      <c r="G29" s="9" t="s">
        <v>11</v>
      </c>
      <c r="H29" s="7">
        <v>-13.9727</v>
      </c>
      <c r="I29" s="7">
        <v>-75.778899999999993</v>
      </c>
      <c r="J29" s="7" t="s">
        <v>83</v>
      </c>
      <c r="K29" s="7" t="s">
        <v>83</v>
      </c>
      <c r="L29" s="7" t="s">
        <v>84</v>
      </c>
      <c r="M29" s="10" t="s">
        <v>593</v>
      </c>
      <c r="N29" t="s">
        <v>651</v>
      </c>
      <c r="O29" s="10" t="s">
        <v>653</v>
      </c>
    </row>
    <row r="30" spans="1:15" ht="15.6" x14ac:dyDescent="0.3">
      <c r="A30" s="3">
        <v>29</v>
      </c>
      <c r="B30" s="4" t="s">
        <v>18</v>
      </c>
      <c r="C30" s="5" t="s">
        <v>85</v>
      </c>
      <c r="D30" s="5" t="str">
        <f t="shared" si="1"/>
        <v>JU_CordovaDeHuancan</v>
      </c>
      <c r="E30" s="7" t="s">
        <v>10</v>
      </c>
      <c r="F30" s="8">
        <v>45804</v>
      </c>
      <c r="G30" s="9" t="s">
        <v>11</v>
      </c>
      <c r="H30" s="7">
        <v>-12.108499999999999</v>
      </c>
      <c r="I30" s="7">
        <v>-75.197900000000004</v>
      </c>
      <c r="J30" s="7" t="s">
        <v>23</v>
      </c>
      <c r="K30" s="7" t="s">
        <v>24</v>
      </c>
      <c r="L30" s="7" t="s">
        <v>41</v>
      </c>
      <c r="M30" s="10" t="s">
        <v>593</v>
      </c>
      <c r="N30" t="s">
        <v>651</v>
      </c>
      <c r="O30" s="10" t="s">
        <v>653</v>
      </c>
    </row>
    <row r="31" spans="1:15" ht="15.6" x14ac:dyDescent="0.3">
      <c r="A31" s="3">
        <v>30</v>
      </c>
      <c r="B31" s="4" t="s">
        <v>18</v>
      </c>
      <c r="C31" s="5" t="s">
        <v>86</v>
      </c>
      <c r="D31" s="5" t="str">
        <f t="shared" si="1"/>
        <v>LH_PuertoSungaro</v>
      </c>
      <c r="E31" s="7" t="s">
        <v>10</v>
      </c>
      <c r="F31" s="8">
        <v>45805</v>
      </c>
      <c r="G31" s="9" t="s">
        <v>11</v>
      </c>
      <c r="H31" s="7">
        <v>-9.3778000000000006</v>
      </c>
      <c r="I31" s="7">
        <v>-75.034899999999993</v>
      </c>
      <c r="J31" s="7" t="s">
        <v>34</v>
      </c>
      <c r="K31" s="7" t="s">
        <v>87</v>
      </c>
      <c r="L31" s="7" t="s">
        <v>87</v>
      </c>
      <c r="M31" s="10" t="s">
        <v>595</v>
      </c>
      <c r="N31" t="s">
        <v>650</v>
      </c>
      <c r="O31" s="10" t="s">
        <v>653</v>
      </c>
    </row>
    <row r="32" spans="1:15" ht="15.6" x14ac:dyDescent="0.3">
      <c r="A32" s="3">
        <v>31</v>
      </c>
      <c r="B32" s="4" t="s">
        <v>18</v>
      </c>
      <c r="C32" s="5" t="s">
        <v>88</v>
      </c>
      <c r="D32" s="5" t="str">
        <f t="shared" si="1"/>
        <v>PI_VillaHermosa</v>
      </c>
      <c r="E32" s="7" t="s">
        <v>10</v>
      </c>
      <c r="F32" s="8">
        <v>45805</v>
      </c>
      <c r="G32" s="9" t="s">
        <v>11</v>
      </c>
      <c r="H32" s="7">
        <v>-5.1729399999999996</v>
      </c>
      <c r="I32" s="7">
        <v>-80.689899999999994</v>
      </c>
      <c r="J32" s="7" t="s">
        <v>53</v>
      </c>
      <c r="K32" s="7" t="s">
        <v>53</v>
      </c>
      <c r="L32" s="7" t="s">
        <v>89</v>
      </c>
      <c r="M32" s="10" t="s">
        <v>593</v>
      </c>
      <c r="N32" t="s">
        <v>650</v>
      </c>
      <c r="O32" s="10" t="s">
        <v>653</v>
      </c>
    </row>
    <row r="33" spans="1:15" ht="15.6" x14ac:dyDescent="0.3">
      <c r="A33" s="3">
        <v>32</v>
      </c>
      <c r="B33" s="4" t="s">
        <v>18</v>
      </c>
      <c r="C33" s="5" t="s">
        <v>90</v>
      </c>
      <c r="D33" s="5" t="str">
        <f t="shared" si="1"/>
        <v>AQ_PorvenirApipa</v>
      </c>
      <c r="E33" s="7" t="s">
        <v>10</v>
      </c>
      <c r="F33" s="8">
        <v>45806</v>
      </c>
      <c r="G33" s="9" t="s">
        <v>11</v>
      </c>
      <c r="H33" s="7">
        <v>-16.324300000000001</v>
      </c>
      <c r="I33" s="7">
        <v>-71.609300000000005</v>
      </c>
      <c r="J33" s="7" t="s">
        <v>20</v>
      </c>
      <c r="K33" s="7" t="s">
        <v>20</v>
      </c>
      <c r="L33" s="7" t="s">
        <v>21</v>
      </c>
      <c r="M33" s="10" t="s">
        <v>592</v>
      </c>
      <c r="N33" t="s">
        <v>651</v>
      </c>
      <c r="O33" s="10" t="s">
        <v>653</v>
      </c>
    </row>
    <row r="34" spans="1:15" ht="15.6" x14ac:dyDescent="0.3">
      <c r="A34" s="3">
        <v>33</v>
      </c>
      <c r="B34" s="4" t="s">
        <v>18</v>
      </c>
      <c r="C34" s="5" t="s">
        <v>91</v>
      </c>
      <c r="D34" s="5" t="str">
        <f t="shared" si="1"/>
        <v>PI_VillaChulucanas</v>
      </c>
      <c r="E34" s="7" t="s">
        <v>10</v>
      </c>
      <c r="F34" s="8">
        <v>45812</v>
      </c>
      <c r="G34" s="9" t="s">
        <v>11</v>
      </c>
      <c r="H34" s="7">
        <v>-5.1901400000000004</v>
      </c>
      <c r="I34" s="7">
        <v>-80.580100000000002</v>
      </c>
      <c r="J34" s="7" t="s">
        <v>53</v>
      </c>
      <c r="K34" s="7" t="s">
        <v>53</v>
      </c>
      <c r="L34" s="7" t="s">
        <v>61</v>
      </c>
      <c r="M34" s="10" t="s">
        <v>593</v>
      </c>
      <c r="N34" t="s">
        <v>650</v>
      </c>
      <c r="O34" s="10" t="s">
        <v>653</v>
      </c>
    </row>
    <row r="35" spans="1:15" ht="15.6" x14ac:dyDescent="0.3">
      <c r="A35" s="3">
        <v>34</v>
      </c>
      <c r="B35" s="4" t="s">
        <v>18</v>
      </c>
      <c r="C35" s="5" t="s">
        <v>92</v>
      </c>
      <c r="D35" s="5" t="str">
        <f t="shared" si="1"/>
        <v>UY_RodolfoEspinar</v>
      </c>
      <c r="E35" s="7" t="s">
        <v>10</v>
      </c>
      <c r="F35" s="8">
        <v>45812</v>
      </c>
      <c r="G35" s="9" t="s">
        <v>11</v>
      </c>
      <c r="H35" s="7">
        <v>-8.3701000000000008</v>
      </c>
      <c r="I35" s="7">
        <v>-74.531899999999993</v>
      </c>
      <c r="J35" s="7" t="s">
        <v>49</v>
      </c>
      <c r="K35" s="7" t="s">
        <v>50</v>
      </c>
      <c r="L35" s="7" t="s">
        <v>51</v>
      </c>
      <c r="M35" s="10" t="s">
        <v>595</v>
      </c>
      <c r="N35" t="s">
        <v>650</v>
      </c>
      <c r="O35" s="10" t="s">
        <v>653</v>
      </c>
    </row>
    <row r="36" spans="1:15" ht="15.6" x14ac:dyDescent="0.3">
      <c r="A36" s="3">
        <v>35</v>
      </c>
      <c r="B36" s="4" t="s">
        <v>18</v>
      </c>
      <c r="C36" s="5" t="s">
        <v>93</v>
      </c>
      <c r="D36" s="5" t="str">
        <f t="shared" si="1"/>
        <v>JU_ElectroChupaca</v>
      </c>
      <c r="E36" s="7" t="s">
        <v>10</v>
      </c>
      <c r="F36" s="8">
        <v>45812</v>
      </c>
      <c r="G36" s="9" t="s">
        <v>11</v>
      </c>
      <c r="H36" s="7">
        <v>-12.0601</v>
      </c>
      <c r="I36" s="7">
        <v>-75.293099999999995</v>
      </c>
      <c r="J36" s="7" t="s">
        <v>23</v>
      </c>
      <c r="K36" s="7" t="s">
        <v>94</v>
      </c>
      <c r="L36" s="7" t="s">
        <v>94</v>
      </c>
      <c r="M36" s="10" t="s">
        <v>593</v>
      </c>
      <c r="N36" t="s">
        <v>651</v>
      </c>
      <c r="O36" s="10" t="s">
        <v>653</v>
      </c>
    </row>
    <row r="37" spans="1:15" ht="15.6" x14ac:dyDescent="0.3">
      <c r="A37" s="3">
        <v>36</v>
      </c>
      <c r="B37" s="4" t="s">
        <v>18</v>
      </c>
      <c r="C37" s="5" t="s">
        <v>95</v>
      </c>
      <c r="D37" s="5" t="str">
        <f t="shared" si="1"/>
        <v>JU_EstadioViques</v>
      </c>
      <c r="E37" s="7" t="s">
        <v>10</v>
      </c>
      <c r="F37" s="8">
        <v>45812</v>
      </c>
      <c r="G37" s="9" t="s">
        <v>11</v>
      </c>
      <c r="H37" s="7">
        <v>-12.1557</v>
      </c>
      <c r="I37" s="7">
        <v>-75.229100000000003</v>
      </c>
      <c r="J37" s="7" t="s">
        <v>23</v>
      </c>
      <c r="K37" s="7" t="s">
        <v>24</v>
      </c>
      <c r="L37" s="7" t="s">
        <v>96</v>
      </c>
      <c r="M37" s="10" t="s">
        <v>593</v>
      </c>
      <c r="N37" t="s">
        <v>650</v>
      </c>
      <c r="O37" s="10" t="s">
        <v>654</v>
      </c>
    </row>
    <row r="38" spans="1:15" ht="15.6" x14ac:dyDescent="0.3">
      <c r="A38" s="3">
        <v>37</v>
      </c>
      <c r="B38" s="4" t="s">
        <v>18</v>
      </c>
      <c r="C38" s="5" t="s">
        <v>97</v>
      </c>
      <c r="D38" s="5" t="str">
        <f t="shared" si="1"/>
        <v>TA_CriptaDeLosHeroes</v>
      </c>
      <c r="E38" s="7" t="s">
        <v>10</v>
      </c>
      <c r="F38" s="8">
        <v>45812</v>
      </c>
      <c r="G38" s="9" t="s">
        <v>11</v>
      </c>
      <c r="H38" s="7">
        <v>-17.992100000000001</v>
      </c>
      <c r="I38" s="7">
        <v>-70.260800000000003</v>
      </c>
      <c r="J38" s="7" t="s">
        <v>98</v>
      </c>
      <c r="K38" s="7" t="s">
        <v>98</v>
      </c>
      <c r="L38" s="7" t="s">
        <v>99</v>
      </c>
      <c r="M38" s="10" t="s">
        <v>596</v>
      </c>
      <c r="N38" t="s">
        <v>651</v>
      </c>
      <c r="O38" s="10" t="s">
        <v>653</v>
      </c>
    </row>
    <row r="39" spans="1:15" ht="15.6" x14ac:dyDescent="0.3">
      <c r="A39" s="3">
        <v>38</v>
      </c>
      <c r="B39" s="4" t="s">
        <v>18</v>
      </c>
      <c r="C39" s="5" t="s">
        <v>100</v>
      </c>
      <c r="D39" s="5" t="str">
        <f t="shared" si="1"/>
        <v>IC_SantaBarbara</v>
      </c>
      <c r="E39" s="7" t="s">
        <v>10</v>
      </c>
      <c r="F39" s="8">
        <v>45812</v>
      </c>
      <c r="G39" s="9" t="s">
        <v>11</v>
      </c>
      <c r="H39" s="7">
        <v>-13.996499999999999</v>
      </c>
      <c r="I39" s="7">
        <v>-75.707300000000004</v>
      </c>
      <c r="J39" s="7" t="s">
        <v>83</v>
      </c>
      <c r="K39" s="7" t="s">
        <v>83</v>
      </c>
      <c r="L39" s="7" t="s">
        <v>101</v>
      </c>
      <c r="M39" s="10" t="s">
        <v>593</v>
      </c>
      <c r="N39" t="s">
        <v>650</v>
      </c>
      <c r="O39" s="10" t="s">
        <v>653</v>
      </c>
    </row>
    <row r="40" spans="1:15" ht="15.6" x14ac:dyDescent="0.3">
      <c r="A40" s="3">
        <v>39</v>
      </c>
      <c r="B40" s="4" t="s">
        <v>18</v>
      </c>
      <c r="C40" s="5" t="s">
        <v>102</v>
      </c>
      <c r="D40" s="5" t="str">
        <f t="shared" si="1"/>
        <v>JU_HuamaliPueblo</v>
      </c>
      <c r="E40" s="7" t="s">
        <v>10</v>
      </c>
      <c r="F40" s="8">
        <v>45812</v>
      </c>
      <c r="G40" s="9" t="s">
        <v>11</v>
      </c>
      <c r="H40" s="7">
        <v>-11.808400000000001</v>
      </c>
      <c r="I40" s="7">
        <v>-75.432199999999995</v>
      </c>
      <c r="J40" s="7" t="s">
        <v>23</v>
      </c>
      <c r="K40" s="7" t="s">
        <v>103</v>
      </c>
      <c r="L40" s="7" t="s">
        <v>104</v>
      </c>
      <c r="M40" s="10" t="s">
        <v>593</v>
      </c>
      <c r="N40" t="s">
        <v>650</v>
      </c>
      <c r="O40" s="10" t="s">
        <v>654</v>
      </c>
    </row>
    <row r="41" spans="1:15" ht="15.6" x14ac:dyDescent="0.3">
      <c r="A41" s="3">
        <v>40</v>
      </c>
      <c r="B41" s="4" t="s">
        <v>18</v>
      </c>
      <c r="C41" s="5" t="s">
        <v>105</v>
      </c>
      <c r="D41" s="5" t="str">
        <f t="shared" si="1"/>
        <v>JU_ColiseoPilcomayo</v>
      </c>
      <c r="E41" s="7" t="s">
        <v>10</v>
      </c>
      <c r="F41" s="8">
        <v>45812</v>
      </c>
      <c r="G41" s="9" t="s">
        <v>11</v>
      </c>
      <c r="H41" s="7">
        <v>-12.057700000000001</v>
      </c>
      <c r="I41" s="7">
        <v>-75.267799999999994</v>
      </c>
      <c r="J41" s="7" t="s">
        <v>23</v>
      </c>
      <c r="K41" s="7" t="s">
        <v>24</v>
      </c>
      <c r="L41" s="7" t="s">
        <v>106</v>
      </c>
      <c r="M41" s="10" t="s">
        <v>593</v>
      </c>
      <c r="N41" t="s">
        <v>650</v>
      </c>
      <c r="O41" s="10" t="s">
        <v>653</v>
      </c>
    </row>
    <row r="42" spans="1:15" ht="15.6" x14ac:dyDescent="0.3">
      <c r="A42" s="3">
        <v>41</v>
      </c>
      <c r="B42" s="4" t="s">
        <v>18</v>
      </c>
      <c r="C42" s="5" t="s">
        <v>107</v>
      </c>
      <c r="D42" s="5" t="str">
        <f t="shared" si="1"/>
        <v>JU_Acolla</v>
      </c>
      <c r="E42" s="7" t="s">
        <v>10</v>
      </c>
      <c r="F42" s="8">
        <v>45812</v>
      </c>
      <c r="G42" s="9" t="s">
        <v>11</v>
      </c>
      <c r="H42" s="7">
        <v>-11.726100000000001</v>
      </c>
      <c r="I42" s="7">
        <v>-75.543300000000002</v>
      </c>
      <c r="J42" s="7" t="s">
        <v>23</v>
      </c>
      <c r="K42" s="7" t="s">
        <v>103</v>
      </c>
      <c r="L42" s="7" t="s">
        <v>108</v>
      </c>
      <c r="M42" s="10" t="s">
        <v>593</v>
      </c>
      <c r="N42" t="s">
        <v>650</v>
      </c>
      <c r="O42" s="10" t="s">
        <v>654</v>
      </c>
    </row>
    <row r="43" spans="1:15" ht="15.6" x14ac:dyDescent="0.3">
      <c r="A43" s="3">
        <v>42</v>
      </c>
      <c r="B43" s="4" t="s">
        <v>8</v>
      </c>
      <c r="C43" s="5" t="s">
        <v>109</v>
      </c>
      <c r="D43" s="5" t="str">
        <f t="shared" si="1"/>
        <v>HU_PampasCentro</v>
      </c>
      <c r="E43" s="7" t="s">
        <v>10</v>
      </c>
      <c r="F43" s="8">
        <v>45812</v>
      </c>
      <c r="G43" s="9" t="s">
        <v>11</v>
      </c>
      <c r="H43" s="7">
        <v>-12.3947</v>
      </c>
      <c r="I43" s="7">
        <v>-74.865799999999993</v>
      </c>
      <c r="J43" s="7" t="s">
        <v>110</v>
      </c>
      <c r="K43" s="7" t="s">
        <v>111</v>
      </c>
      <c r="L43" s="7" t="s">
        <v>112</v>
      </c>
      <c r="M43" s="10" t="s">
        <v>595</v>
      </c>
      <c r="N43" t="s">
        <v>651</v>
      </c>
      <c r="O43" s="10" t="s">
        <v>653</v>
      </c>
    </row>
    <row r="44" spans="1:15" ht="15.6" x14ac:dyDescent="0.3">
      <c r="A44" s="3">
        <v>43</v>
      </c>
      <c r="B44" s="4" t="s">
        <v>18</v>
      </c>
      <c r="C44" s="5" t="s">
        <v>113</v>
      </c>
      <c r="D44" s="5" t="str">
        <f t="shared" si="1"/>
        <v>CS_SalidaEspinar</v>
      </c>
      <c r="E44" s="7" t="s">
        <v>10</v>
      </c>
      <c r="F44" s="8">
        <v>45813</v>
      </c>
      <c r="G44" s="9" t="s">
        <v>11</v>
      </c>
      <c r="H44" s="7">
        <v>-14.7842</v>
      </c>
      <c r="I44" s="7">
        <v>-71.415599999999998</v>
      </c>
      <c r="J44" s="7" t="s">
        <v>26</v>
      </c>
      <c r="K44" s="7" t="s">
        <v>114</v>
      </c>
      <c r="L44" s="7" t="s">
        <v>114</v>
      </c>
      <c r="M44" s="10" t="s">
        <v>592</v>
      </c>
      <c r="N44" t="s">
        <v>650</v>
      </c>
      <c r="O44" s="10" t="s">
        <v>653</v>
      </c>
    </row>
    <row r="45" spans="1:15" ht="15.6" x14ac:dyDescent="0.3">
      <c r="A45" s="3">
        <v>44</v>
      </c>
      <c r="B45" s="4" t="s">
        <v>18</v>
      </c>
      <c r="C45" s="5" t="s">
        <v>115</v>
      </c>
      <c r="D45" s="5" t="str">
        <f t="shared" si="1"/>
        <v>AQ_MajesModuloB</v>
      </c>
      <c r="E45" s="7" t="s">
        <v>10</v>
      </c>
      <c r="F45" s="8">
        <v>45813</v>
      </c>
      <c r="G45" s="9" t="s">
        <v>11</v>
      </c>
      <c r="H45" s="7">
        <v>-16.325099999999999</v>
      </c>
      <c r="I45" s="7">
        <v>-72.184700000000007</v>
      </c>
      <c r="J45" s="7" t="s">
        <v>20</v>
      </c>
      <c r="K45" s="7" t="s">
        <v>30</v>
      </c>
      <c r="L45" s="7" t="s">
        <v>31</v>
      </c>
      <c r="M45" s="10" t="s">
        <v>592</v>
      </c>
      <c r="N45" t="s">
        <v>650</v>
      </c>
      <c r="O45" s="10" t="s">
        <v>653</v>
      </c>
    </row>
    <row r="46" spans="1:15" ht="15.6" x14ac:dyDescent="0.3">
      <c r="A46" s="3">
        <v>45</v>
      </c>
      <c r="B46" s="4" t="s">
        <v>18</v>
      </c>
      <c r="C46" s="5" t="s">
        <v>116</v>
      </c>
      <c r="D46" s="5" t="str">
        <f t="shared" si="1"/>
        <v>IC_AtleticoPisqueno</v>
      </c>
      <c r="E46" s="7" t="s">
        <v>10</v>
      </c>
      <c r="F46" s="8">
        <v>45813</v>
      </c>
      <c r="G46" s="9" t="s">
        <v>11</v>
      </c>
      <c r="H46" s="7">
        <v>-13.710599999999999</v>
      </c>
      <c r="I46" s="7">
        <v>-76.196899999999999</v>
      </c>
      <c r="J46" s="7" t="s">
        <v>83</v>
      </c>
      <c r="K46" s="7" t="s">
        <v>117</v>
      </c>
      <c r="L46" s="7" t="s">
        <v>117</v>
      </c>
      <c r="M46" s="10" t="s">
        <v>593</v>
      </c>
      <c r="N46" t="s">
        <v>650</v>
      </c>
      <c r="O46" s="10" t="s">
        <v>653</v>
      </c>
    </row>
    <row r="47" spans="1:15" ht="15.6" x14ac:dyDescent="0.3">
      <c r="A47" s="3">
        <v>46</v>
      </c>
      <c r="B47" s="4" t="s">
        <v>18</v>
      </c>
      <c r="C47" s="5" t="s">
        <v>118</v>
      </c>
      <c r="D47" s="5" t="str">
        <f t="shared" si="1"/>
        <v>LI_MacabiAlto</v>
      </c>
      <c r="E47" s="7" t="s">
        <v>10</v>
      </c>
      <c r="F47" s="8">
        <v>45813</v>
      </c>
      <c r="G47" s="9" t="s">
        <v>11</v>
      </c>
      <c r="H47" s="7">
        <v>-7.7193199999999997</v>
      </c>
      <c r="I47" s="7">
        <v>-79.355599999999995</v>
      </c>
      <c r="J47" s="7" t="s">
        <v>58</v>
      </c>
      <c r="K47" s="7" t="s">
        <v>63</v>
      </c>
      <c r="L47" s="7" t="s">
        <v>119</v>
      </c>
      <c r="M47" s="10" t="s">
        <v>593</v>
      </c>
      <c r="N47" t="s">
        <v>650</v>
      </c>
      <c r="O47" s="10" t="s">
        <v>653</v>
      </c>
    </row>
    <row r="48" spans="1:15" ht="15.6" x14ac:dyDescent="0.3">
      <c r="A48" s="3">
        <v>47</v>
      </c>
      <c r="B48" s="4" t="s">
        <v>18</v>
      </c>
      <c r="C48" s="5" t="s">
        <v>120</v>
      </c>
      <c r="D48" s="5" t="str">
        <f t="shared" si="1"/>
        <v>UY_NuevaMagdalena</v>
      </c>
      <c r="E48" s="7" t="s">
        <v>10</v>
      </c>
      <c r="F48" s="8">
        <v>45813</v>
      </c>
      <c r="G48" s="9" t="s">
        <v>11</v>
      </c>
      <c r="H48" s="7">
        <v>-8.4034800000000001</v>
      </c>
      <c r="I48" s="7">
        <v>-74.602500000000006</v>
      </c>
      <c r="J48" s="7" t="s">
        <v>49</v>
      </c>
      <c r="K48" s="7" t="s">
        <v>50</v>
      </c>
      <c r="L48" s="7" t="s">
        <v>51</v>
      </c>
      <c r="M48" s="10" t="s">
        <v>595</v>
      </c>
      <c r="N48" t="s">
        <v>650</v>
      </c>
      <c r="O48" s="10" t="s">
        <v>653</v>
      </c>
    </row>
    <row r="49" spans="1:15" ht="15.6" x14ac:dyDescent="0.3">
      <c r="A49" s="3">
        <v>48</v>
      </c>
      <c r="B49" s="4" t="s">
        <v>18</v>
      </c>
      <c r="C49" s="5" t="s">
        <v>121</v>
      </c>
      <c r="D49" s="5" t="str">
        <f t="shared" si="1"/>
        <v>AN_Yuracoto</v>
      </c>
      <c r="E49" s="7" t="s">
        <v>10</v>
      </c>
      <c r="F49" s="8">
        <v>45813</v>
      </c>
      <c r="G49" s="9" t="s">
        <v>11</v>
      </c>
      <c r="H49" s="7">
        <v>-9.0188000000000006</v>
      </c>
      <c r="I49" s="7">
        <v>-77.818700000000007</v>
      </c>
      <c r="J49" s="7" t="s">
        <v>122</v>
      </c>
      <c r="K49" s="7" t="s">
        <v>123</v>
      </c>
      <c r="L49" s="7" t="s">
        <v>124</v>
      </c>
      <c r="M49" s="10" t="s">
        <v>593</v>
      </c>
      <c r="N49" t="s">
        <v>650</v>
      </c>
      <c r="O49" s="10" t="s">
        <v>653</v>
      </c>
    </row>
    <row r="50" spans="1:15" ht="15.6" x14ac:dyDescent="0.3">
      <c r="A50" s="3">
        <v>49</v>
      </c>
      <c r="B50" s="4" t="s">
        <v>18</v>
      </c>
      <c r="C50" s="5" t="s">
        <v>125</v>
      </c>
      <c r="D50" s="5" t="str">
        <f t="shared" si="1"/>
        <v>PN_SalcedoDePuno</v>
      </c>
      <c r="E50" s="7" t="s">
        <v>10</v>
      </c>
      <c r="F50" s="8">
        <v>45813</v>
      </c>
      <c r="G50" s="9" t="s">
        <v>11</v>
      </c>
      <c r="H50" s="7">
        <v>-15.8741</v>
      </c>
      <c r="I50" s="7">
        <v>-70.010099999999994</v>
      </c>
      <c r="J50" s="7" t="s">
        <v>126</v>
      </c>
      <c r="K50" s="7" t="s">
        <v>126</v>
      </c>
      <c r="L50" s="7" t="s">
        <v>126</v>
      </c>
      <c r="M50" s="10" t="s">
        <v>592</v>
      </c>
      <c r="N50" t="s">
        <v>650</v>
      </c>
      <c r="O50" s="10" t="s">
        <v>653</v>
      </c>
    </row>
    <row r="51" spans="1:15" ht="15.6" x14ac:dyDescent="0.3">
      <c r="A51" s="3">
        <v>50</v>
      </c>
      <c r="B51" s="4" t="s">
        <v>18</v>
      </c>
      <c r="C51" s="5" t="s">
        <v>127</v>
      </c>
      <c r="D51" s="5" t="str">
        <f t="shared" si="1"/>
        <v>PN_JardinDelAltiplano</v>
      </c>
      <c r="E51" s="7" t="s">
        <v>10</v>
      </c>
      <c r="F51" s="8">
        <v>45813</v>
      </c>
      <c r="G51" s="9" t="s">
        <v>11</v>
      </c>
      <c r="H51" s="7">
        <v>-15.4788</v>
      </c>
      <c r="I51" s="7">
        <v>-70.099100000000007</v>
      </c>
      <c r="J51" s="7" t="s">
        <v>126</v>
      </c>
      <c r="K51" s="7" t="s">
        <v>128</v>
      </c>
      <c r="L51" s="7" t="s">
        <v>129</v>
      </c>
      <c r="M51" s="10" t="s">
        <v>592</v>
      </c>
      <c r="N51" t="s">
        <v>651</v>
      </c>
      <c r="O51" s="10" t="s">
        <v>653</v>
      </c>
    </row>
    <row r="52" spans="1:15" ht="15.6" x14ac:dyDescent="0.3">
      <c r="A52" s="3">
        <v>51</v>
      </c>
      <c r="B52" s="4" t="s">
        <v>18</v>
      </c>
      <c r="C52" s="5" t="s">
        <v>130</v>
      </c>
      <c r="D52" s="5" t="str">
        <f t="shared" si="1"/>
        <v>LM_SanMarcosDeLaAguada</v>
      </c>
      <c r="E52" s="7" t="s">
        <v>10</v>
      </c>
      <c r="F52" s="8">
        <v>45814</v>
      </c>
      <c r="G52" s="9" t="s">
        <v>11</v>
      </c>
      <c r="H52" s="7">
        <v>-12.6663</v>
      </c>
      <c r="I52" s="7">
        <v>-76.619900000000001</v>
      </c>
      <c r="J52" s="7" t="s">
        <v>12</v>
      </c>
      <c r="K52" s="7" t="s">
        <v>16</v>
      </c>
      <c r="L52" s="7" t="s">
        <v>131</v>
      </c>
      <c r="M52" s="10" t="s">
        <v>594</v>
      </c>
      <c r="N52" t="s">
        <v>650</v>
      </c>
      <c r="O52" s="10" t="s">
        <v>653</v>
      </c>
    </row>
    <row r="53" spans="1:15" ht="15.6" x14ac:dyDescent="0.3">
      <c r="A53" s="3">
        <v>52</v>
      </c>
      <c r="B53" s="4" t="s">
        <v>8</v>
      </c>
      <c r="C53" s="5" t="s">
        <v>132</v>
      </c>
      <c r="D53" s="5" t="str">
        <f t="shared" si="1"/>
        <v>PN_JuliacaLampa</v>
      </c>
      <c r="E53" s="7" t="s">
        <v>10</v>
      </c>
      <c r="F53" s="8">
        <v>45814</v>
      </c>
      <c r="G53" s="9" t="s">
        <v>11</v>
      </c>
      <c r="H53" s="7">
        <v>-15.470499999999999</v>
      </c>
      <c r="I53" s="7">
        <v>-70.1721</v>
      </c>
      <c r="J53" s="7" t="s">
        <v>126</v>
      </c>
      <c r="K53" s="7" t="s">
        <v>128</v>
      </c>
      <c r="L53" s="7" t="s">
        <v>129</v>
      </c>
      <c r="M53" s="10" t="s">
        <v>592</v>
      </c>
      <c r="N53" t="s">
        <v>650</v>
      </c>
      <c r="O53" s="10" t="s">
        <v>653</v>
      </c>
    </row>
    <row r="54" spans="1:15" ht="15.6" x14ac:dyDescent="0.3">
      <c r="A54" s="3">
        <v>53</v>
      </c>
      <c r="B54" s="4" t="s">
        <v>8</v>
      </c>
      <c r="C54" s="5" t="s">
        <v>133</v>
      </c>
      <c r="D54" s="5" t="str">
        <f t="shared" si="1"/>
        <v>LO_BelgranoDePunchana</v>
      </c>
      <c r="E54" s="7" t="s">
        <v>10</v>
      </c>
      <c r="F54" s="8">
        <v>45814</v>
      </c>
      <c r="G54" s="9" t="s">
        <v>11</v>
      </c>
      <c r="H54" s="7">
        <v>-3.7241</v>
      </c>
      <c r="I54" s="7">
        <v>-73.245500000000007</v>
      </c>
      <c r="J54" s="7" t="s">
        <v>134</v>
      </c>
      <c r="K54" s="7" t="s">
        <v>135</v>
      </c>
      <c r="L54" s="7" t="s">
        <v>136</v>
      </c>
      <c r="M54" s="10" t="s">
        <v>596</v>
      </c>
      <c r="N54" t="s">
        <v>652</v>
      </c>
      <c r="O54" s="10" t="s">
        <v>653</v>
      </c>
    </row>
    <row r="55" spans="1:15" ht="15.6" x14ac:dyDescent="0.3">
      <c r="A55" s="3">
        <v>54</v>
      </c>
      <c r="B55" s="4" t="s">
        <v>18</v>
      </c>
      <c r="C55" s="5" t="s">
        <v>137</v>
      </c>
      <c r="D55" s="5" t="str">
        <f t="shared" si="1"/>
        <v>LI_LosAltosDeTrujillo</v>
      </c>
      <c r="E55" s="7" t="s">
        <v>10</v>
      </c>
      <c r="F55" s="8">
        <v>45814</v>
      </c>
      <c r="G55" s="9" t="s">
        <v>11</v>
      </c>
      <c r="H55" s="7">
        <v>-8.0635899999999996</v>
      </c>
      <c r="I55" s="7">
        <v>-79.0321</v>
      </c>
      <c r="J55" s="7" t="s">
        <v>58</v>
      </c>
      <c r="K55" s="7" t="s">
        <v>138</v>
      </c>
      <c r="L55" s="7" t="s">
        <v>139</v>
      </c>
      <c r="M55" s="10" t="s">
        <v>593</v>
      </c>
      <c r="N55" t="s">
        <v>651</v>
      </c>
      <c r="O55" s="10" t="s">
        <v>653</v>
      </c>
    </row>
    <row r="56" spans="1:15" ht="15.6" x14ac:dyDescent="0.3">
      <c r="A56" s="3">
        <v>55</v>
      </c>
      <c r="B56" s="4" t="s">
        <v>18</v>
      </c>
      <c r="C56" s="5" t="s">
        <v>140</v>
      </c>
      <c r="D56" s="5" t="str">
        <f t="shared" si="1"/>
        <v>LH_Escorpio</v>
      </c>
      <c r="E56" s="7" t="s">
        <v>10</v>
      </c>
      <c r="F56" s="8">
        <v>45814</v>
      </c>
      <c r="G56" s="9" t="s">
        <v>11</v>
      </c>
      <c r="H56" s="7">
        <v>-9.9011800000000001</v>
      </c>
      <c r="I56" s="7">
        <v>-76.224400000000003</v>
      </c>
      <c r="J56" s="7" t="s">
        <v>34</v>
      </c>
      <c r="K56" s="7" t="s">
        <v>34</v>
      </c>
      <c r="L56" s="7" t="s">
        <v>35</v>
      </c>
      <c r="M56" s="10" t="s">
        <v>595</v>
      </c>
      <c r="N56" t="s">
        <v>650</v>
      </c>
      <c r="O56" s="10" t="s">
        <v>653</v>
      </c>
    </row>
    <row r="57" spans="1:15" ht="15.6" x14ac:dyDescent="0.3">
      <c r="A57" s="3">
        <v>56</v>
      </c>
      <c r="B57" s="4" t="s">
        <v>18</v>
      </c>
      <c r="C57" s="5" t="s">
        <v>141</v>
      </c>
      <c r="D57" s="5" t="str">
        <f t="shared" si="1"/>
        <v>LM_AldeasPachacamac</v>
      </c>
      <c r="E57" s="7" t="s">
        <v>10</v>
      </c>
      <c r="F57" s="8">
        <v>45814</v>
      </c>
      <c r="G57" s="9" t="s">
        <v>11</v>
      </c>
      <c r="H57" s="7">
        <v>-12.2273</v>
      </c>
      <c r="I57" s="7">
        <v>-76.859800000000007</v>
      </c>
      <c r="J57" s="7" t="s">
        <v>12</v>
      </c>
      <c r="K57" s="7" t="s">
        <v>12</v>
      </c>
      <c r="L57" s="7" t="s">
        <v>142</v>
      </c>
      <c r="M57" s="10" t="s">
        <v>594</v>
      </c>
      <c r="N57" t="s">
        <v>651</v>
      </c>
      <c r="O57" s="10" t="s">
        <v>653</v>
      </c>
    </row>
    <row r="58" spans="1:15" ht="15.6" x14ac:dyDescent="0.3">
      <c r="A58" s="3">
        <v>57</v>
      </c>
      <c r="B58" s="4" t="s">
        <v>18</v>
      </c>
      <c r="C58" s="5" t="s">
        <v>143</v>
      </c>
      <c r="D58" s="5" t="str">
        <f t="shared" si="1"/>
        <v>AN_Sihuas</v>
      </c>
      <c r="E58" s="7" t="s">
        <v>10</v>
      </c>
      <c r="F58" s="8">
        <v>45814</v>
      </c>
      <c r="G58" s="9" t="s">
        <v>11</v>
      </c>
      <c r="H58" s="7">
        <v>-8.5457800000000006</v>
      </c>
      <c r="I58" s="7">
        <v>-77.656599999999997</v>
      </c>
      <c r="J58" s="7" t="s">
        <v>122</v>
      </c>
      <c r="K58" s="7" t="s">
        <v>144</v>
      </c>
      <c r="L58" s="7" t="s">
        <v>145</v>
      </c>
      <c r="M58" s="10" t="s">
        <v>593</v>
      </c>
      <c r="N58" t="s">
        <v>650</v>
      </c>
      <c r="O58" s="10" t="s">
        <v>653</v>
      </c>
    </row>
    <row r="59" spans="1:15" ht="15.6" x14ac:dyDescent="0.3">
      <c r="A59" s="3">
        <v>58</v>
      </c>
      <c r="B59" s="4" t="s">
        <v>18</v>
      </c>
      <c r="C59" s="5" t="s">
        <v>146</v>
      </c>
      <c r="D59" s="5" t="str">
        <f t="shared" si="1"/>
        <v>AN_Caracinita</v>
      </c>
      <c r="E59" s="7" t="s">
        <v>10</v>
      </c>
      <c r="F59" s="8">
        <v>45814</v>
      </c>
      <c r="G59" s="9" t="s">
        <v>11</v>
      </c>
      <c r="H59" s="7">
        <v>-9.0434999999999999</v>
      </c>
      <c r="I59" s="7">
        <v>-77.813900000000004</v>
      </c>
      <c r="J59" s="7" t="s">
        <v>122</v>
      </c>
      <c r="K59" s="7" t="s">
        <v>123</v>
      </c>
      <c r="L59" s="7" t="s">
        <v>124</v>
      </c>
      <c r="M59" s="10" t="s">
        <v>593</v>
      </c>
      <c r="N59" t="s">
        <v>651</v>
      </c>
      <c r="O59" s="10" t="s">
        <v>653</v>
      </c>
    </row>
    <row r="60" spans="1:15" ht="15.6" x14ac:dyDescent="0.3">
      <c r="A60" s="3">
        <v>59</v>
      </c>
      <c r="B60" s="4" t="s">
        <v>18</v>
      </c>
      <c r="C60" s="5" t="s">
        <v>147</v>
      </c>
      <c r="D60" s="5" t="str">
        <f t="shared" si="1"/>
        <v>LI_CampoNuevo</v>
      </c>
      <c r="E60" s="7" t="s">
        <v>10</v>
      </c>
      <c r="F60" s="8">
        <v>45814</v>
      </c>
      <c r="G60" s="9" t="s">
        <v>11</v>
      </c>
      <c r="H60" s="7">
        <v>-8.9397500000000001</v>
      </c>
      <c r="I60" s="7">
        <v>-78.631399999999999</v>
      </c>
      <c r="J60" s="7" t="s">
        <v>58</v>
      </c>
      <c r="K60" s="7" t="s">
        <v>148</v>
      </c>
      <c r="L60" s="7" t="s">
        <v>149</v>
      </c>
      <c r="M60" s="10" t="s">
        <v>593</v>
      </c>
      <c r="N60" t="s">
        <v>650</v>
      </c>
      <c r="O60" s="10" t="s">
        <v>653</v>
      </c>
    </row>
    <row r="61" spans="1:15" ht="15.6" x14ac:dyDescent="0.3">
      <c r="A61" s="3">
        <v>60</v>
      </c>
      <c r="B61" s="4" t="s">
        <v>18</v>
      </c>
      <c r="C61" s="5" t="s">
        <v>150</v>
      </c>
      <c r="D61" s="5" t="str">
        <f t="shared" si="1"/>
        <v>CA_UrbFloresJaen</v>
      </c>
      <c r="E61" s="7" t="s">
        <v>10</v>
      </c>
      <c r="F61" s="8">
        <v>45817</v>
      </c>
      <c r="G61" s="9" t="s">
        <v>11</v>
      </c>
      <c r="H61" s="7">
        <v>-5.7042000000000002</v>
      </c>
      <c r="I61" s="7">
        <v>-78.800899999999999</v>
      </c>
      <c r="J61" s="7" t="s">
        <v>81</v>
      </c>
      <c r="K61" s="7" t="s">
        <v>151</v>
      </c>
      <c r="L61" s="7" t="s">
        <v>151</v>
      </c>
      <c r="M61" s="10" t="s">
        <v>592</v>
      </c>
      <c r="N61" t="s">
        <v>650</v>
      </c>
      <c r="O61" s="10" t="s">
        <v>653</v>
      </c>
    </row>
    <row r="62" spans="1:15" ht="15.6" x14ac:dyDescent="0.3">
      <c r="A62" s="3">
        <v>61</v>
      </c>
      <c r="B62" s="4" t="s">
        <v>18</v>
      </c>
      <c r="C62" s="5" t="s">
        <v>152</v>
      </c>
      <c r="D62" s="5" t="str">
        <f t="shared" si="1"/>
        <v>LM_PedroSayan</v>
      </c>
      <c r="E62" s="7" t="s">
        <v>10</v>
      </c>
      <c r="F62" s="8">
        <v>45817</v>
      </c>
      <c r="G62" s="9" t="s">
        <v>11</v>
      </c>
      <c r="H62" s="7">
        <v>-10.7471</v>
      </c>
      <c r="I62" s="7">
        <v>-77.753500000000003</v>
      </c>
      <c r="J62" s="7" t="s">
        <v>12</v>
      </c>
      <c r="K62" s="7" t="s">
        <v>153</v>
      </c>
      <c r="L62" s="7" t="s">
        <v>153</v>
      </c>
      <c r="M62" s="10" t="s">
        <v>594</v>
      </c>
      <c r="N62" t="s">
        <v>651</v>
      </c>
      <c r="O62" s="10" t="s">
        <v>653</v>
      </c>
    </row>
    <row r="63" spans="1:15" ht="15.6" x14ac:dyDescent="0.3">
      <c r="A63" s="3">
        <v>62</v>
      </c>
      <c r="B63" s="4" t="s">
        <v>18</v>
      </c>
      <c r="C63" s="5" t="s">
        <v>154</v>
      </c>
      <c r="D63" s="5" t="str">
        <f t="shared" si="1"/>
        <v>AQ_ColegioElohim</v>
      </c>
      <c r="E63" s="7" t="s">
        <v>10</v>
      </c>
      <c r="F63" s="8">
        <v>45818</v>
      </c>
      <c r="G63" s="9" t="s">
        <v>11</v>
      </c>
      <c r="H63" s="7">
        <v>-16.3978</v>
      </c>
      <c r="I63" s="7">
        <v>-71.483500000000006</v>
      </c>
      <c r="J63" s="7" t="s">
        <v>20</v>
      </c>
      <c r="K63" s="7" t="s">
        <v>20</v>
      </c>
      <c r="L63" s="7" t="s">
        <v>155</v>
      </c>
      <c r="M63" s="10" t="s">
        <v>592</v>
      </c>
      <c r="N63" t="s">
        <v>651</v>
      </c>
      <c r="O63" s="10" t="s">
        <v>653</v>
      </c>
    </row>
    <row r="64" spans="1:15" ht="15.6" x14ac:dyDescent="0.3">
      <c r="A64" s="3">
        <v>63</v>
      </c>
      <c r="B64" s="4" t="s">
        <v>18</v>
      </c>
      <c r="C64" s="5" t="s">
        <v>156</v>
      </c>
      <c r="D64" s="5" t="str">
        <f t="shared" si="1"/>
        <v>AQ_AltoJerusalen</v>
      </c>
      <c r="E64" s="7" t="s">
        <v>10</v>
      </c>
      <c r="F64" s="8">
        <v>45818</v>
      </c>
      <c r="G64" s="9" t="s">
        <v>11</v>
      </c>
      <c r="H64" s="7">
        <v>-16.385899999999999</v>
      </c>
      <c r="I64" s="7">
        <v>-71.487700000000004</v>
      </c>
      <c r="J64" s="7" t="s">
        <v>20</v>
      </c>
      <c r="K64" s="7" t="s">
        <v>20</v>
      </c>
      <c r="L64" s="7" t="s">
        <v>155</v>
      </c>
      <c r="M64" s="10" t="s">
        <v>592</v>
      </c>
      <c r="N64" t="s">
        <v>650</v>
      </c>
      <c r="O64" s="10" t="s">
        <v>653</v>
      </c>
    </row>
    <row r="65" spans="1:15" ht="15.6" x14ac:dyDescent="0.3">
      <c r="A65" s="3">
        <v>64</v>
      </c>
      <c r="B65" s="4" t="s">
        <v>18</v>
      </c>
      <c r="C65" s="5" t="s">
        <v>157</v>
      </c>
      <c r="D65" s="5" t="str">
        <f t="shared" si="1"/>
        <v>AQ_CampinaSocabaya</v>
      </c>
      <c r="E65" s="7" t="s">
        <v>10</v>
      </c>
      <c r="F65" s="8">
        <v>45818</v>
      </c>
      <c r="G65" s="9" t="s">
        <v>11</v>
      </c>
      <c r="H65" s="7">
        <v>-16.459700000000002</v>
      </c>
      <c r="I65" s="7">
        <v>-71.521500000000003</v>
      </c>
      <c r="J65" s="7" t="s">
        <v>20</v>
      </c>
      <c r="K65" s="7" t="s">
        <v>20</v>
      </c>
      <c r="L65" s="7" t="s">
        <v>158</v>
      </c>
      <c r="M65" s="10" t="s">
        <v>592</v>
      </c>
      <c r="N65" t="s">
        <v>650</v>
      </c>
      <c r="O65" s="10" t="s">
        <v>653</v>
      </c>
    </row>
    <row r="66" spans="1:15" ht="15.6" x14ac:dyDescent="0.3">
      <c r="A66" s="3">
        <v>65</v>
      </c>
      <c r="B66" s="4" t="s">
        <v>18</v>
      </c>
      <c r="C66" s="5" t="s">
        <v>159</v>
      </c>
      <c r="D66" s="5" t="str">
        <f t="shared" si="1"/>
        <v>AN_NuevoParaisoChimbote</v>
      </c>
      <c r="E66" s="7" t="s">
        <v>10</v>
      </c>
      <c r="F66" s="8">
        <v>45819</v>
      </c>
      <c r="G66" s="9" t="s">
        <v>11</v>
      </c>
      <c r="H66" s="7">
        <v>-9.0422999999999991</v>
      </c>
      <c r="I66" s="7">
        <v>-78.583500000000001</v>
      </c>
      <c r="J66" s="7" t="s">
        <v>122</v>
      </c>
      <c r="K66" s="7" t="s">
        <v>160</v>
      </c>
      <c r="L66" s="7" t="s">
        <v>161</v>
      </c>
      <c r="M66" s="10" t="s">
        <v>593</v>
      </c>
      <c r="N66" t="s">
        <v>650</v>
      </c>
      <c r="O66" s="10" t="s">
        <v>653</v>
      </c>
    </row>
    <row r="67" spans="1:15" ht="15.6" x14ac:dyDescent="0.3">
      <c r="A67" s="3">
        <v>66</v>
      </c>
      <c r="B67" s="4" t="s">
        <v>18</v>
      </c>
      <c r="C67" s="5" t="s">
        <v>162</v>
      </c>
      <c r="D67" s="5" t="str">
        <f t="shared" si="1"/>
        <v>PI_LosLaureles</v>
      </c>
      <c r="E67" s="7" t="s">
        <v>10</v>
      </c>
      <c r="F67" s="8">
        <v>45819</v>
      </c>
      <c r="G67" s="9" t="s">
        <v>11</v>
      </c>
      <c r="H67" s="7">
        <v>-5.1926800000000002</v>
      </c>
      <c r="I67" s="7">
        <v>-80.677599999999998</v>
      </c>
      <c r="J67" s="7" t="s">
        <v>53</v>
      </c>
      <c r="K67" s="7" t="s">
        <v>53</v>
      </c>
      <c r="L67" s="7" t="s">
        <v>89</v>
      </c>
      <c r="M67" s="10" t="s">
        <v>593</v>
      </c>
      <c r="N67" t="s">
        <v>650</v>
      </c>
      <c r="O67" s="10" t="s">
        <v>653</v>
      </c>
    </row>
    <row r="68" spans="1:15" ht="15.6" x14ac:dyDescent="0.3">
      <c r="A68" s="3">
        <v>67</v>
      </c>
      <c r="B68" s="4" t="s">
        <v>18</v>
      </c>
      <c r="C68" s="5" t="s">
        <v>163</v>
      </c>
      <c r="D68" s="5" t="str">
        <f t="shared" si="1"/>
        <v>PI_Laynes</v>
      </c>
      <c r="E68" s="7" t="s">
        <v>10</v>
      </c>
      <c r="F68" s="8">
        <v>45820</v>
      </c>
      <c r="G68" s="9" t="s">
        <v>11</v>
      </c>
      <c r="H68" s="7">
        <v>-5.2329100000000004</v>
      </c>
      <c r="I68" s="7">
        <v>-80.057900000000004</v>
      </c>
      <c r="J68" s="7" t="s">
        <v>53</v>
      </c>
      <c r="K68" s="7" t="s">
        <v>164</v>
      </c>
      <c r="L68" s="7" t="s">
        <v>165</v>
      </c>
      <c r="M68" s="10" t="s">
        <v>593</v>
      </c>
      <c r="N68" t="s">
        <v>650</v>
      </c>
      <c r="O68" s="10" t="s">
        <v>653</v>
      </c>
    </row>
    <row r="69" spans="1:15" ht="15.6" x14ac:dyDescent="0.3">
      <c r="A69" s="3">
        <v>68</v>
      </c>
      <c r="B69" s="4" t="s">
        <v>18</v>
      </c>
      <c r="C69" s="5" t="s">
        <v>166</v>
      </c>
      <c r="D69" s="5" t="str">
        <f t="shared" si="1"/>
        <v>IC_PlazaAquijes</v>
      </c>
      <c r="E69" s="7" t="s">
        <v>10</v>
      </c>
      <c r="F69" s="8">
        <v>45820</v>
      </c>
      <c r="G69" s="9" t="s">
        <v>11</v>
      </c>
      <c r="H69" s="7">
        <v>-14.0968</v>
      </c>
      <c r="I69" s="7">
        <v>-75.693600000000004</v>
      </c>
      <c r="J69" s="7" t="s">
        <v>83</v>
      </c>
      <c r="K69" s="7" t="s">
        <v>83</v>
      </c>
      <c r="L69" s="7" t="s">
        <v>167</v>
      </c>
      <c r="M69" s="10" t="s">
        <v>593</v>
      </c>
      <c r="N69" t="s">
        <v>650</v>
      </c>
      <c r="O69" s="10" t="s">
        <v>653</v>
      </c>
    </row>
    <row r="70" spans="1:15" ht="15.6" x14ac:dyDescent="0.3">
      <c r="A70" s="3">
        <v>69</v>
      </c>
      <c r="B70" s="4" t="s">
        <v>18</v>
      </c>
      <c r="C70" s="5" t="s">
        <v>168</v>
      </c>
      <c r="D70" s="5" t="str">
        <f t="shared" si="1"/>
        <v>IC_PedroTipacti</v>
      </c>
      <c r="E70" s="7" t="s">
        <v>10</v>
      </c>
      <c r="F70" s="8">
        <v>45820</v>
      </c>
      <c r="G70" s="9" t="s">
        <v>11</v>
      </c>
      <c r="H70" s="7">
        <v>-14.1304</v>
      </c>
      <c r="I70" s="7">
        <v>-75.707499999999996</v>
      </c>
      <c r="J70" s="7" t="s">
        <v>83</v>
      </c>
      <c r="K70" s="7" t="s">
        <v>83</v>
      </c>
      <c r="L70" s="7" t="s">
        <v>169</v>
      </c>
      <c r="M70" s="10" t="s">
        <v>593</v>
      </c>
      <c r="N70" t="s">
        <v>650</v>
      </c>
      <c r="O70" s="10" t="s">
        <v>653</v>
      </c>
    </row>
    <row r="71" spans="1:15" ht="15.6" x14ac:dyDescent="0.3">
      <c r="A71" s="3">
        <v>70</v>
      </c>
      <c r="B71" s="4" t="s">
        <v>18</v>
      </c>
      <c r="C71" s="5" t="s">
        <v>170</v>
      </c>
      <c r="D71" s="5" t="str">
        <f t="shared" si="1"/>
        <v>PN_UrbConcordia</v>
      </c>
      <c r="E71" s="7" t="s">
        <v>10</v>
      </c>
      <c r="F71" s="8">
        <v>45820</v>
      </c>
      <c r="G71" s="9" t="s">
        <v>11</v>
      </c>
      <c r="H71" s="7">
        <v>-15.506500000000001</v>
      </c>
      <c r="I71" s="7">
        <v>-70.115700000000004</v>
      </c>
      <c r="J71" s="7" t="s">
        <v>126</v>
      </c>
      <c r="K71" s="7" t="s">
        <v>128</v>
      </c>
      <c r="L71" s="7" t="s">
        <v>129</v>
      </c>
      <c r="M71" s="10" t="s">
        <v>592</v>
      </c>
      <c r="N71" t="s">
        <v>650</v>
      </c>
      <c r="O71" s="10" t="s">
        <v>653</v>
      </c>
    </row>
    <row r="72" spans="1:15" ht="15.6" x14ac:dyDescent="0.3">
      <c r="A72" s="3">
        <v>71</v>
      </c>
      <c r="B72" s="4" t="s">
        <v>18</v>
      </c>
      <c r="C72" s="5" t="s">
        <v>171</v>
      </c>
      <c r="D72" s="5" t="str">
        <f t="shared" si="1"/>
        <v>PI_SagradoCorazonDeJesus</v>
      </c>
      <c r="E72" s="7" t="s">
        <v>10</v>
      </c>
      <c r="F72" s="8">
        <v>45824</v>
      </c>
      <c r="G72" s="9" t="s">
        <v>11</v>
      </c>
      <c r="H72" s="7">
        <v>-4.92889</v>
      </c>
      <c r="I72" s="7">
        <v>-80.3489</v>
      </c>
      <c r="J72" s="7" t="s">
        <v>53</v>
      </c>
      <c r="K72" s="7" t="s">
        <v>53</v>
      </c>
      <c r="L72" s="7" t="s">
        <v>172</v>
      </c>
      <c r="M72" s="10" t="s">
        <v>593</v>
      </c>
      <c r="N72" t="s">
        <v>650</v>
      </c>
      <c r="O72" s="10" t="s">
        <v>653</v>
      </c>
    </row>
    <row r="73" spans="1:15" ht="15.6" x14ac:dyDescent="0.3">
      <c r="A73" s="3">
        <v>72</v>
      </c>
      <c r="B73" s="4" t="s">
        <v>18</v>
      </c>
      <c r="C73" s="5" t="s">
        <v>173</v>
      </c>
      <c r="D73" s="5" t="str">
        <f t="shared" ref="D73:D136" si="2">+RIGHT(C73,LEN(C73)-10)</f>
        <v>CS_VillaFlorida</v>
      </c>
      <c r="E73" s="7" t="s">
        <v>10</v>
      </c>
      <c r="F73" s="8">
        <v>45825</v>
      </c>
      <c r="G73" s="9" t="s">
        <v>11</v>
      </c>
      <c r="H73" s="7">
        <v>-13.5235</v>
      </c>
      <c r="I73" s="7">
        <v>-71.922700000000006</v>
      </c>
      <c r="J73" s="7" t="s">
        <v>26</v>
      </c>
      <c r="K73" s="7" t="s">
        <v>26</v>
      </c>
      <c r="L73" s="7" t="s">
        <v>174</v>
      </c>
      <c r="M73" s="10" t="s">
        <v>592</v>
      </c>
      <c r="N73" t="s">
        <v>650</v>
      </c>
      <c r="O73" s="10" t="s">
        <v>653</v>
      </c>
    </row>
    <row r="74" spans="1:15" ht="15.6" x14ac:dyDescent="0.3">
      <c r="A74" s="3">
        <v>73</v>
      </c>
      <c r="B74" s="4" t="s">
        <v>18</v>
      </c>
      <c r="C74" s="5" t="s">
        <v>175</v>
      </c>
      <c r="D74" s="5" t="str">
        <f t="shared" si="2"/>
        <v>LI_RodolfoGonzales</v>
      </c>
      <c r="E74" s="7" t="s">
        <v>10</v>
      </c>
      <c r="F74" s="8">
        <v>45825</v>
      </c>
      <c r="G74" s="9" t="s">
        <v>11</v>
      </c>
      <c r="H74" s="7">
        <v>-8.0462100000000003</v>
      </c>
      <c r="I74" s="7">
        <v>-79.005099999999999</v>
      </c>
      <c r="J74" s="7" t="s">
        <v>58</v>
      </c>
      <c r="K74" s="7" t="s">
        <v>138</v>
      </c>
      <c r="L74" s="7" t="s">
        <v>139</v>
      </c>
      <c r="M74" s="10" t="s">
        <v>593</v>
      </c>
      <c r="N74" t="s">
        <v>650</v>
      </c>
      <c r="O74" s="10" t="s">
        <v>653</v>
      </c>
    </row>
    <row r="75" spans="1:15" ht="15.6" x14ac:dyDescent="0.3">
      <c r="A75" s="3">
        <v>74</v>
      </c>
      <c r="B75" s="4" t="s">
        <v>18</v>
      </c>
      <c r="C75" s="5" t="s">
        <v>176</v>
      </c>
      <c r="D75" s="5" t="str">
        <f t="shared" si="2"/>
        <v>AQ_EstadioSocabaya</v>
      </c>
      <c r="E75" s="7" t="s">
        <v>10</v>
      </c>
      <c r="F75" s="8">
        <v>45825</v>
      </c>
      <c r="G75" s="9" t="s">
        <v>11</v>
      </c>
      <c r="H75" s="7">
        <v>-16.441199999999998</v>
      </c>
      <c r="I75" s="7">
        <v>-71.532499999999999</v>
      </c>
      <c r="J75" s="7" t="s">
        <v>20</v>
      </c>
      <c r="K75" s="7" t="s">
        <v>20</v>
      </c>
      <c r="L75" s="7" t="s">
        <v>158</v>
      </c>
      <c r="M75" s="10" t="s">
        <v>592</v>
      </c>
      <c r="N75" t="s">
        <v>650</v>
      </c>
      <c r="O75" s="10" t="s">
        <v>653</v>
      </c>
    </row>
    <row r="76" spans="1:15" ht="15.6" x14ac:dyDescent="0.3">
      <c r="A76" s="3">
        <v>75</v>
      </c>
      <c r="B76" s="4" t="s">
        <v>18</v>
      </c>
      <c r="C76" s="5" t="s">
        <v>177</v>
      </c>
      <c r="D76" s="5" t="str">
        <f t="shared" si="2"/>
        <v>PN_Taparachi</v>
      </c>
      <c r="E76" s="7" t="s">
        <v>10</v>
      </c>
      <c r="F76" s="8">
        <v>45825</v>
      </c>
      <c r="G76" s="9" t="s">
        <v>11</v>
      </c>
      <c r="H76" s="7">
        <v>-15.5184</v>
      </c>
      <c r="I76" s="7">
        <v>-70.107500000000002</v>
      </c>
      <c r="J76" s="7" t="s">
        <v>126</v>
      </c>
      <c r="K76" s="7" t="s">
        <v>128</v>
      </c>
      <c r="L76" s="7" t="s">
        <v>129</v>
      </c>
      <c r="M76" s="10" t="s">
        <v>592</v>
      </c>
      <c r="N76" t="s">
        <v>651</v>
      </c>
      <c r="O76" s="10" t="s">
        <v>653</v>
      </c>
    </row>
    <row r="77" spans="1:15" ht="15.6" x14ac:dyDescent="0.3">
      <c r="A77" s="3">
        <v>76</v>
      </c>
      <c r="B77" s="4" t="s">
        <v>18</v>
      </c>
      <c r="C77" s="5" t="s">
        <v>178</v>
      </c>
      <c r="D77" s="5" t="str">
        <f t="shared" si="2"/>
        <v>JU_CircuitoLibertadores</v>
      </c>
      <c r="E77" s="7" t="s">
        <v>10</v>
      </c>
      <c r="F77" s="8">
        <v>45826</v>
      </c>
      <c r="G77" s="9" t="s">
        <v>11</v>
      </c>
      <c r="H77" s="7">
        <v>-12.0581</v>
      </c>
      <c r="I77" s="7">
        <v>-75.190700000000007</v>
      </c>
      <c r="J77" s="7" t="s">
        <v>23</v>
      </c>
      <c r="K77" s="7" t="s">
        <v>24</v>
      </c>
      <c r="L77" s="7" t="s">
        <v>24</v>
      </c>
      <c r="M77" s="10" t="s">
        <v>593</v>
      </c>
      <c r="N77" t="s">
        <v>650</v>
      </c>
      <c r="O77" s="10" t="s">
        <v>653</v>
      </c>
    </row>
    <row r="78" spans="1:15" ht="15.6" x14ac:dyDescent="0.3">
      <c r="A78" s="3">
        <v>77</v>
      </c>
      <c r="B78" s="4" t="s">
        <v>18</v>
      </c>
      <c r="C78" s="5" t="s">
        <v>179</v>
      </c>
      <c r="D78" s="5" t="str">
        <f t="shared" si="2"/>
        <v>LA_OyotunCiudad</v>
      </c>
      <c r="E78" s="7" t="s">
        <v>10</v>
      </c>
      <c r="F78" s="8">
        <v>45830</v>
      </c>
      <c r="G78" s="9" t="s">
        <v>11</v>
      </c>
      <c r="H78" s="7">
        <v>-6.8507999999999996</v>
      </c>
      <c r="I78" s="7">
        <v>-79.3005</v>
      </c>
      <c r="J78" s="7" t="s">
        <v>71</v>
      </c>
      <c r="K78" s="7" t="s">
        <v>72</v>
      </c>
      <c r="L78" s="7" t="s">
        <v>180</v>
      </c>
      <c r="M78" s="10" t="s">
        <v>593</v>
      </c>
      <c r="N78" t="s">
        <v>650</v>
      </c>
      <c r="O78" s="10" t="s">
        <v>653</v>
      </c>
    </row>
    <row r="79" spans="1:15" ht="15.6" x14ac:dyDescent="0.3">
      <c r="A79" s="3">
        <v>78</v>
      </c>
      <c r="B79" s="4" t="s">
        <v>18</v>
      </c>
      <c r="C79" s="5" t="s">
        <v>181</v>
      </c>
      <c r="D79" s="5" t="str">
        <f t="shared" si="2"/>
        <v>LM_Retes</v>
      </c>
      <c r="E79" s="7" t="s">
        <v>10</v>
      </c>
      <c r="F79" s="8">
        <v>45838</v>
      </c>
      <c r="G79" s="9" t="s">
        <v>11</v>
      </c>
      <c r="H79" s="7">
        <v>-11.4749</v>
      </c>
      <c r="I79" s="7">
        <v>-77.226600000000005</v>
      </c>
      <c r="J79" s="7" t="s">
        <v>12</v>
      </c>
      <c r="K79" s="7" t="s">
        <v>13</v>
      </c>
      <c r="L79" s="7" t="s">
        <v>13</v>
      </c>
      <c r="M79" s="10" t="s">
        <v>594</v>
      </c>
      <c r="N79" t="s">
        <v>650</v>
      </c>
      <c r="O79" s="10" t="s">
        <v>653</v>
      </c>
    </row>
    <row r="80" spans="1:15" ht="15.6" x14ac:dyDescent="0.3">
      <c r="A80" s="3">
        <v>79</v>
      </c>
      <c r="B80" s="4" t="s">
        <v>18</v>
      </c>
      <c r="C80" s="5" t="s">
        <v>182</v>
      </c>
      <c r="D80" s="5" t="str">
        <f t="shared" si="2"/>
        <v>AQ_CiudadMunicipal</v>
      </c>
      <c r="E80" s="7" t="s">
        <v>10</v>
      </c>
      <c r="F80" s="8">
        <v>45838</v>
      </c>
      <c r="G80" s="9" t="s">
        <v>11</v>
      </c>
      <c r="H80" s="7">
        <v>-16.319700000000001</v>
      </c>
      <c r="I80" s="7">
        <v>-71.591399999999993</v>
      </c>
      <c r="J80" s="7" t="s">
        <v>20</v>
      </c>
      <c r="K80" s="7" t="s">
        <v>20</v>
      </c>
      <c r="L80" s="7" t="s">
        <v>21</v>
      </c>
      <c r="M80" s="10" t="s">
        <v>592</v>
      </c>
      <c r="N80" t="s">
        <v>650</v>
      </c>
      <c r="O80" s="10" t="s">
        <v>653</v>
      </c>
    </row>
    <row r="81" spans="1:15" ht="15.6" x14ac:dyDescent="0.3">
      <c r="A81" s="3">
        <v>80</v>
      </c>
      <c r="B81" s="4" t="s">
        <v>18</v>
      </c>
      <c r="C81" s="5" t="s">
        <v>183</v>
      </c>
      <c r="D81" s="5" t="str">
        <f t="shared" si="2"/>
        <v>LA_Garcia</v>
      </c>
      <c r="E81" s="7" t="s">
        <v>10</v>
      </c>
      <c r="F81" s="8">
        <v>45839</v>
      </c>
      <c r="G81" s="9" t="s">
        <v>11</v>
      </c>
      <c r="H81" s="7">
        <v>-5.9954200000000002</v>
      </c>
      <c r="I81" s="7">
        <v>-79.731800000000007</v>
      </c>
      <c r="J81" s="7" t="s">
        <v>71</v>
      </c>
      <c r="K81" s="7" t="s">
        <v>71</v>
      </c>
      <c r="L81" s="7" t="s">
        <v>184</v>
      </c>
      <c r="M81" s="10" t="s">
        <v>593</v>
      </c>
      <c r="N81" t="s">
        <v>650</v>
      </c>
      <c r="O81" s="10" t="s">
        <v>653</v>
      </c>
    </row>
    <row r="82" spans="1:15" ht="15.6" x14ac:dyDescent="0.3">
      <c r="A82" s="3">
        <v>81</v>
      </c>
      <c r="B82" s="4" t="s">
        <v>18</v>
      </c>
      <c r="C82" s="5" t="s">
        <v>185</v>
      </c>
      <c r="D82" s="5" t="str">
        <f t="shared" si="2"/>
        <v>AQ_APIAAR</v>
      </c>
      <c r="E82" s="7" t="s">
        <v>10</v>
      </c>
      <c r="F82" s="8">
        <v>45840</v>
      </c>
      <c r="G82" s="9" t="s">
        <v>11</v>
      </c>
      <c r="H82" s="7">
        <v>-16.317</v>
      </c>
      <c r="I82" s="7">
        <v>-71.610500000000002</v>
      </c>
      <c r="J82" s="7" t="s">
        <v>20</v>
      </c>
      <c r="K82" s="7" t="s">
        <v>20</v>
      </c>
      <c r="L82" s="7" t="s">
        <v>21</v>
      </c>
      <c r="M82" s="10" t="s">
        <v>592</v>
      </c>
      <c r="N82" t="s">
        <v>651</v>
      </c>
      <c r="O82" s="10" t="s">
        <v>653</v>
      </c>
    </row>
    <row r="83" spans="1:15" ht="15.6" x14ac:dyDescent="0.3">
      <c r="A83" s="3">
        <v>82</v>
      </c>
      <c r="B83" s="4" t="s">
        <v>18</v>
      </c>
      <c r="C83" s="5" t="s">
        <v>186</v>
      </c>
      <c r="D83" s="5" t="str">
        <f t="shared" si="2"/>
        <v>JU_RioNegroCiudad</v>
      </c>
      <c r="E83" s="7" t="s">
        <v>10</v>
      </c>
      <c r="F83" s="8">
        <v>45840</v>
      </c>
      <c r="G83" s="9" t="s">
        <v>11</v>
      </c>
      <c r="H83" s="7">
        <v>-11.2094</v>
      </c>
      <c r="I83" s="7">
        <v>-74.660499999999999</v>
      </c>
      <c r="J83" s="7" t="s">
        <v>23</v>
      </c>
      <c r="K83" s="7" t="s">
        <v>47</v>
      </c>
      <c r="L83" s="7" t="s">
        <v>187</v>
      </c>
      <c r="M83" s="10" t="s">
        <v>593</v>
      </c>
      <c r="N83" t="s">
        <v>650</v>
      </c>
      <c r="O83" s="10" t="s">
        <v>654</v>
      </c>
    </row>
    <row r="84" spans="1:15" ht="15.6" x14ac:dyDescent="0.3">
      <c r="A84" s="3">
        <v>83</v>
      </c>
      <c r="B84" s="4" t="s">
        <v>18</v>
      </c>
      <c r="C84" s="5" t="s">
        <v>188</v>
      </c>
      <c r="D84" s="5" t="str">
        <f t="shared" si="2"/>
        <v>IC_IngresoFlorida</v>
      </c>
      <c r="E84" s="7" t="s">
        <v>10</v>
      </c>
      <c r="F84" s="8">
        <v>45841</v>
      </c>
      <c r="G84" s="9" t="s">
        <v>11</v>
      </c>
      <c r="H84" s="7">
        <v>-14.058400000000001</v>
      </c>
      <c r="I84" s="7">
        <v>-75.714399999999998</v>
      </c>
      <c r="J84" s="7" t="s">
        <v>83</v>
      </c>
      <c r="K84" s="7" t="s">
        <v>83</v>
      </c>
      <c r="L84" s="7" t="s">
        <v>189</v>
      </c>
      <c r="M84" s="10" t="s">
        <v>593</v>
      </c>
      <c r="N84" t="s">
        <v>650</v>
      </c>
      <c r="O84" s="10" t="s">
        <v>653</v>
      </c>
    </row>
    <row r="85" spans="1:15" ht="15.6" x14ac:dyDescent="0.3">
      <c r="A85" s="3">
        <v>84</v>
      </c>
      <c r="B85" s="4" t="s">
        <v>18</v>
      </c>
      <c r="C85" s="5" t="s">
        <v>190</v>
      </c>
      <c r="D85" s="5" t="str">
        <f t="shared" si="2"/>
        <v>IC_VientoYArena</v>
      </c>
      <c r="E85" s="7" t="s">
        <v>10</v>
      </c>
      <c r="F85" s="8">
        <v>45841</v>
      </c>
      <c r="G85" s="9" t="s">
        <v>11</v>
      </c>
      <c r="H85" s="7">
        <v>-14.0741</v>
      </c>
      <c r="I85" s="7">
        <v>-75.769199999999998</v>
      </c>
      <c r="J85" s="7" t="s">
        <v>83</v>
      </c>
      <c r="K85" s="7" t="s">
        <v>83</v>
      </c>
      <c r="L85" s="7" t="s">
        <v>83</v>
      </c>
      <c r="M85" s="10" t="s">
        <v>593</v>
      </c>
      <c r="N85" t="s">
        <v>650</v>
      </c>
      <c r="O85" s="10" t="s">
        <v>653</v>
      </c>
    </row>
    <row r="86" spans="1:15" ht="15.6" x14ac:dyDescent="0.3">
      <c r="A86" s="3">
        <v>85</v>
      </c>
      <c r="B86" s="4" t="s">
        <v>8</v>
      </c>
      <c r="C86" s="5" t="s">
        <v>191</v>
      </c>
      <c r="D86" s="5" t="str">
        <f t="shared" si="2"/>
        <v>LO_LasFloresDelBautista</v>
      </c>
      <c r="E86" s="7" t="s">
        <v>10</v>
      </c>
      <c r="F86" s="8">
        <v>45841</v>
      </c>
      <c r="G86" s="9" t="s">
        <v>11</v>
      </c>
      <c r="H86" s="7">
        <v>-3.7710599999999999</v>
      </c>
      <c r="I86" s="7">
        <v>-73.289299999999997</v>
      </c>
      <c r="J86" s="7" t="s">
        <v>134</v>
      </c>
      <c r="K86" s="7" t="s">
        <v>135</v>
      </c>
      <c r="L86" s="7" t="s">
        <v>39</v>
      </c>
      <c r="M86" s="10" t="s">
        <v>596</v>
      </c>
      <c r="N86" t="s">
        <v>651</v>
      </c>
      <c r="O86" s="10" t="s">
        <v>653</v>
      </c>
    </row>
    <row r="87" spans="1:15" ht="15.6" x14ac:dyDescent="0.3">
      <c r="A87" s="3">
        <v>86</v>
      </c>
      <c r="B87" s="4" t="s">
        <v>18</v>
      </c>
      <c r="C87" s="5" t="s">
        <v>192</v>
      </c>
      <c r="D87" s="5" t="str">
        <f t="shared" si="2"/>
        <v>LI_LasFlores</v>
      </c>
      <c r="E87" s="7" t="s">
        <v>10</v>
      </c>
      <c r="F87" s="8">
        <v>45841</v>
      </c>
      <c r="G87" s="9" t="s">
        <v>11</v>
      </c>
      <c r="H87" s="7">
        <v>-8.0936800000000009</v>
      </c>
      <c r="I87" s="7">
        <v>-79.089799999999997</v>
      </c>
      <c r="J87" s="7" t="s">
        <v>58</v>
      </c>
      <c r="K87" s="7" t="s">
        <v>138</v>
      </c>
      <c r="L87" s="7" t="s">
        <v>193</v>
      </c>
      <c r="M87" s="10" t="s">
        <v>593</v>
      </c>
      <c r="N87" t="s">
        <v>650</v>
      </c>
      <c r="O87" s="10" t="s">
        <v>653</v>
      </c>
    </row>
    <row r="88" spans="1:15" ht="15.6" x14ac:dyDescent="0.3">
      <c r="A88" s="3">
        <v>87</v>
      </c>
      <c r="B88" s="4" t="s">
        <v>8</v>
      </c>
      <c r="C88" s="5" t="s">
        <v>194</v>
      </c>
      <c r="D88" s="5" t="str">
        <f t="shared" si="2"/>
        <v>SM_SanJuanDeUchiza</v>
      </c>
      <c r="E88" s="7" t="s">
        <v>10</v>
      </c>
      <c r="F88" s="8">
        <v>45842</v>
      </c>
      <c r="G88" s="9" t="s">
        <v>11</v>
      </c>
      <c r="H88" s="7">
        <v>-8.4194800000000001</v>
      </c>
      <c r="I88" s="7">
        <v>-76.453946999999999</v>
      </c>
      <c r="J88" s="7" t="s">
        <v>195</v>
      </c>
      <c r="K88" s="7" t="s">
        <v>196</v>
      </c>
      <c r="L88" s="7" t="s">
        <v>197</v>
      </c>
      <c r="M88" s="10" t="s">
        <v>595</v>
      </c>
      <c r="N88" t="s">
        <v>650</v>
      </c>
      <c r="O88" s="10" t="s">
        <v>654</v>
      </c>
    </row>
    <row r="89" spans="1:15" ht="15.6" x14ac:dyDescent="0.3">
      <c r="A89" s="3">
        <v>88</v>
      </c>
      <c r="B89" s="4" t="s">
        <v>18</v>
      </c>
      <c r="C89" s="5" t="s">
        <v>198</v>
      </c>
      <c r="D89" s="5" t="str">
        <f t="shared" si="2"/>
        <v>AN_PiedrasAzules</v>
      </c>
      <c r="E89" s="7" t="s">
        <v>10</v>
      </c>
      <c r="F89" s="8">
        <v>45842</v>
      </c>
      <c r="G89" s="9" t="s">
        <v>11</v>
      </c>
      <c r="H89" s="7">
        <v>-9.5352499999999996</v>
      </c>
      <c r="I89" s="7">
        <v>-77.535899999999998</v>
      </c>
      <c r="J89" s="7" t="s">
        <v>122</v>
      </c>
      <c r="K89" s="7" t="s">
        <v>199</v>
      </c>
      <c r="L89" s="7" t="s">
        <v>199</v>
      </c>
      <c r="M89" s="10" t="s">
        <v>593</v>
      </c>
      <c r="N89" t="s">
        <v>650</v>
      </c>
      <c r="O89" s="10" t="s">
        <v>653</v>
      </c>
    </row>
    <row r="90" spans="1:15" ht="15.6" x14ac:dyDescent="0.3">
      <c r="A90" s="3">
        <v>89</v>
      </c>
      <c r="B90" s="4" t="s">
        <v>8</v>
      </c>
      <c r="C90" s="5" t="s">
        <v>200</v>
      </c>
      <c r="D90" s="5" t="str">
        <f t="shared" si="2"/>
        <v>UY_TriunfoDeSanAlejandro</v>
      </c>
      <c r="E90" s="7" t="s">
        <v>10</v>
      </c>
      <c r="F90" s="8">
        <v>45842</v>
      </c>
      <c r="G90" s="9" t="s">
        <v>11</v>
      </c>
      <c r="H90" s="7">
        <v>-8.8304200000000002</v>
      </c>
      <c r="I90" s="7">
        <v>-75.216800000000006</v>
      </c>
      <c r="J90" s="7" t="s">
        <v>49</v>
      </c>
      <c r="K90" s="7" t="s">
        <v>201</v>
      </c>
      <c r="L90" s="7" t="s">
        <v>202</v>
      </c>
      <c r="M90" s="10" t="s">
        <v>595</v>
      </c>
      <c r="N90" t="s">
        <v>650</v>
      </c>
      <c r="O90" s="10" t="s">
        <v>653</v>
      </c>
    </row>
    <row r="91" spans="1:15" ht="15.6" x14ac:dyDescent="0.3">
      <c r="A91" s="3">
        <v>90</v>
      </c>
      <c r="B91" s="4" t="s">
        <v>18</v>
      </c>
      <c r="C91" s="5" t="s">
        <v>203</v>
      </c>
      <c r="D91" s="5" t="str">
        <f t="shared" si="2"/>
        <v>UY_Bellido</v>
      </c>
      <c r="E91" s="7" t="s">
        <v>10</v>
      </c>
      <c r="F91" s="8">
        <v>45845</v>
      </c>
      <c r="G91" s="9" t="s">
        <v>11</v>
      </c>
      <c r="H91" s="7">
        <v>-8.4303899999999992</v>
      </c>
      <c r="I91" s="7">
        <v>-74.567800000000005</v>
      </c>
      <c r="J91" s="7" t="s">
        <v>49</v>
      </c>
      <c r="K91" s="7" t="s">
        <v>50</v>
      </c>
      <c r="L91" s="7" t="s">
        <v>204</v>
      </c>
      <c r="M91" s="10" t="s">
        <v>595</v>
      </c>
      <c r="N91" t="s">
        <v>651</v>
      </c>
      <c r="O91" s="10" t="s">
        <v>653</v>
      </c>
    </row>
    <row r="92" spans="1:15" ht="15.6" x14ac:dyDescent="0.3">
      <c r="A92" s="3">
        <v>91</v>
      </c>
      <c r="B92" s="4" t="s">
        <v>18</v>
      </c>
      <c r="C92" s="5" t="s">
        <v>205</v>
      </c>
      <c r="D92" s="5" t="str">
        <f t="shared" si="2"/>
        <v>AQ_AcequiaLasFlores</v>
      </c>
      <c r="E92" s="7" t="s">
        <v>10</v>
      </c>
      <c r="F92" s="8">
        <v>45853</v>
      </c>
      <c r="G92" s="9" t="s">
        <v>11</v>
      </c>
      <c r="H92" s="7">
        <v>-16.328299999999999</v>
      </c>
      <c r="I92" s="7">
        <v>-71.571600000000004</v>
      </c>
      <c r="J92" s="7" t="s">
        <v>20</v>
      </c>
      <c r="K92" s="7" t="s">
        <v>20</v>
      </c>
      <c r="L92" s="7" t="s">
        <v>21</v>
      </c>
      <c r="M92" s="10" t="s">
        <v>592</v>
      </c>
      <c r="N92" t="s">
        <v>650</v>
      </c>
      <c r="O92" s="10" t="s">
        <v>653</v>
      </c>
    </row>
    <row r="93" spans="1:15" ht="15.6" x14ac:dyDescent="0.3">
      <c r="A93" s="3">
        <v>92</v>
      </c>
      <c r="B93" s="4" t="s">
        <v>18</v>
      </c>
      <c r="C93" s="5" t="s">
        <v>206</v>
      </c>
      <c r="D93" s="5" t="str">
        <f t="shared" si="2"/>
        <v>LM_AmautaDeAte</v>
      </c>
      <c r="E93" s="7" t="s">
        <v>10</v>
      </c>
      <c r="F93" s="8">
        <v>45855</v>
      </c>
      <c r="G93" s="9" t="s">
        <v>11</v>
      </c>
      <c r="H93" s="7">
        <v>-12.042999999999999</v>
      </c>
      <c r="I93" s="7">
        <v>-76.900999999999996</v>
      </c>
      <c r="J93" s="7" t="s">
        <v>12</v>
      </c>
      <c r="K93" s="7" t="s">
        <v>12</v>
      </c>
      <c r="L93" s="7" t="s">
        <v>207</v>
      </c>
      <c r="M93" s="10" t="s">
        <v>594</v>
      </c>
      <c r="N93" t="s">
        <v>650</v>
      </c>
      <c r="O93" s="10" t="s">
        <v>653</v>
      </c>
    </row>
    <row r="94" spans="1:15" ht="15.6" x14ac:dyDescent="0.3">
      <c r="A94" s="3">
        <v>93</v>
      </c>
      <c r="B94" s="4" t="s">
        <v>18</v>
      </c>
      <c r="C94" s="5" t="s">
        <v>208</v>
      </c>
      <c r="D94" s="5" t="str">
        <f t="shared" si="2"/>
        <v>AQ_AmpliacionSocabaya</v>
      </c>
      <c r="E94" s="7" t="s">
        <v>10</v>
      </c>
      <c r="F94" s="8">
        <v>45857</v>
      </c>
      <c r="G94" s="9" t="s">
        <v>11</v>
      </c>
      <c r="H94" s="7">
        <v>-16.470500000000001</v>
      </c>
      <c r="I94" s="7">
        <v>-71.524600000000007</v>
      </c>
      <c r="J94" s="7" t="s">
        <v>20</v>
      </c>
      <c r="K94" s="7" t="s">
        <v>20</v>
      </c>
      <c r="L94" s="7" t="s">
        <v>158</v>
      </c>
      <c r="M94" s="10" t="s">
        <v>592</v>
      </c>
      <c r="N94" t="s">
        <v>650</v>
      </c>
      <c r="O94" s="10" t="s">
        <v>653</v>
      </c>
    </row>
    <row r="95" spans="1:15" ht="15.6" x14ac:dyDescent="0.3">
      <c r="A95" s="3">
        <v>94</v>
      </c>
      <c r="B95" s="4" t="s">
        <v>18</v>
      </c>
      <c r="C95" s="5" t="s">
        <v>209</v>
      </c>
      <c r="D95" s="5" t="str">
        <f t="shared" si="2"/>
        <v>IC_VictorMatta</v>
      </c>
      <c r="E95" s="7" t="s">
        <v>10</v>
      </c>
      <c r="F95" s="8">
        <v>45860</v>
      </c>
      <c r="G95" s="9" t="s">
        <v>11</v>
      </c>
      <c r="H95" s="7">
        <v>-13.455399999999999</v>
      </c>
      <c r="I95" s="7">
        <v>-76.159599999999998</v>
      </c>
      <c r="J95" s="7" t="s">
        <v>83</v>
      </c>
      <c r="K95" s="7" t="s">
        <v>210</v>
      </c>
      <c r="L95" s="7" t="s">
        <v>211</v>
      </c>
      <c r="M95" s="10" t="s">
        <v>593</v>
      </c>
      <c r="N95" t="s">
        <v>650</v>
      </c>
      <c r="O95" s="10" t="s">
        <v>653</v>
      </c>
    </row>
    <row r="96" spans="1:15" ht="15.6" x14ac:dyDescent="0.3">
      <c r="A96" s="3">
        <v>95</v>
      </c>
      <c r="B96" s="4" t="s">
        <v>18</v>
      </c>
      <c r="C96" s="5" t="s">
        <v>212</v>
      </c>
      <c r="D96" s="5" t="str">
        <f t="shared" si="2"/>
        <v>LI_AscencioDeSalas</v>
      </c>
      <c r="E96" s="7" t="s">
        <v>10</v>
      </c>
      <c r="F96" s="8">
        <v>45862</v>
      </c>
      <c r="G96" s="9" t="s">
        <v>11</v>
      </c>
      <c r="H96" s="7">
        <v>-8.1156600000000001</v>
      </c>
      <c r="I96" s="7">
        <v>-79.009200000000007</v>
      </c>
      <c r="J96" s="7" t="s">
        <v>58</v>
      </c>
      <c r="K96" s="7" t="s">
        <v>138</v>
      </c>
      <c r="L96" s="7" t="s">
        <v>138</v>
      </c>
      <c r="M96" s="10" t="s">
        <v>593</v>
      </c>
      <c r="N96" t="s">
        <v>650</v>
      </c>
      <c r="O96" s="10" t="s">
        <v>653</v>
      </c>
    </row>
    <row r="97" spans="1:15" ht="15.6" x14ac:dyDescent="0.3">
      <c r="A97" s="3">
        <v>96</v>
      </c>
      <c r="B97" s="4" t="s">
        <v>18</v>
      </c>
      <c r="C97" s="5" t="s">
        <v>213</v>
      </c>
      <c r="D97" s="5" t="str">
        <f t="shared" si="2"/>
        <v>AQ_MiradorCayma</v>
      </c>
      <c r="E97" s="7" t="s">
        <v>10</v>
      </c>
      <c r="F97" s="8">
        <v>45862</v>
      </c>
      <c r="G97" s="9" t="s">
        <v>11</v>
      </c>
      <c r="H97" s="7">
        <v>-16.354399999999998</v>
      </c>
      <c r="I97" s="7">
        <v>-71.545599999999993</v>
      </c>
      <c r="J97" s="7" t="s">
        <v>20</v>
      </c>
      <c r="K97" s="7" t="s">
        <v>20</v>
      </c>
      <c r="L97" s="7" t="s">
        <v>214</v>
      </c>
      <c r="M97" s="10" t="s">
        <v>592</v>
      </c>
      <c r="N97" t="s">
        <v>650</v>
      </c>
      <c r="O97" s="10" t="s">
        <v>653</v>
      </c>
    </row>
    <row r="98" spans="1:15" ht="15.6" x14ac:dyDescent="0.3">
      <c r="A98" s="3">
        <v>97</v>
      </c>
      <c r="B98" s="4" t="s">
        <v>18</v>
      </c>
      <c r="C98" s="5" t="s">
        <v>215</v>
      </c>
      <c r="D98" s="5" t="str">
        <f t="shared" si="2"/>
        <v>AQ_PasajeBalconcillo</v>
      </c>
      <c r="E98" s="7" t="s">
        <v>10</v>
      </c>
      <c r="F98" s="8">
        <v>45863</v>
      </c>
      <c r="G98" s="9" t="s">
        <v>11</v>
      </c>
      <c r="H98" s="7">
        <v>-16.4391</v>
      </c>
      <c r="I98" s="7">
        <v>-71.541399999999996</v>
      </c>
      <c r="J98" s="7" t="s">
        <v>20</v>
      </c>
      <c r="K98" s="7" t="s">
        <v>20</v>
      </c>
      <c r="L98" s="7" t="s">
        <v>216</v>
      </c>
      <c r="M98" s="10" t="s">
        <v>592</v>
      </c>
      <c r="N98" t="s">
        <v>650</v>
      </c>
      <c r="O98" s="10" t="s">
        <v>653</v>
      </c>
    </row>
    <row r="99" spans="1:15" ht="15.6" x14ac:dyDescent="0.3">
      <c r="A99" s="3">
        <v>98</v>
      </c>
      <c r="B99" s="4" t="s">
        <v>18</v>
      </c>
      <c r="C99" s="5" t="s">
        <v>217</v>
      </c>
      <c r="D99" s="5" t="str">
        <f t="shared" si="2"/>
        <v>AQ_BellavistaMollendo</v>
      </c>
      <c r="E99" s="7" t="s">
        <v>10</v>
      </c>
      <c r="F99" s="8">
        <v>45868</v>
      </c>
      <c r="G99" s="9" t="s">
        <v>11</v>
      </c>
      <c r="H99" s="7">
        <v>-17.013400000000001</v>
      </c>
      <c r="I99" s="7">
        <v>-72.009600000000006</v>
      </c>
      <c r="J99" s="7" t="s">
        <v>20</v>
      </c>
      <c r="K99" s="7" t="s">
        <v>218</v>
      </c>
      <c r="L99" s="7" t="s">
        <v>219</v>
      </c>
      <c r="M99" s="10" t="s">
        <v>592</v>
      </c>
      <c r="N99" t="s">
        <v>651</v>
      </c>
      <c r="O99" s="10" t="s">
        <v>653</v>
      </c>
    </row>
    <row r="100" spans="1:15" ht="15.6" x14ac:dyDescent="0.3">
      <c r="A100" s="3">
        <v>99</v>
      </c>
      <c r="B100" s="4" t="s">
        <v>18</v>
      </c>
      <c r="C100" s="5" t="s">
        <v>220</v>
      </c>
      <c r="D100" s="5" t="str">
        <f t="shared" si="2"/>
        <v>PN_UrbElCarmenDeJuliaca</v>
      </c>
      <c r="E100" s="7" t="s">
        <v>10</v>
      </c>
      <c r="F100" s="8">
        <v>45868</v>
      </c>
      <c r="G100" s="9" t="s">
        <v>11</v>
      </c>
      <c r="H100" s="7">
        <v>-15.465299999999999</v>
      </c>
      <c r="I100" s="7">
        <v>-70.141499999999994</v>
      </c>
      <c r="J100" s="7" t="s">
        <v>126</v>
      </c>
      <c r="K100" s="7" t="s">
        <v>128</v>
      </c>
      <c r="L100" s="7" t="s">
        <v>129</v>
      </c>
      <c r="M100" s="10" t="s">
        <v>592</v>
      </c>
      <c r="N100" t="s">
        <v>652</v>
      </c>
      <c r="O100" s="10" t="s">
        <v>653</v>
      </c>
    </row>
    <row r="101" spans="1:15" ht="15.6" x14ac:dyDescent="0.3">
      <c r="A101" s="3">
        <v>100</v>
      </c>
      <c r="B101" s="4" t="s">
        <v>18</v>
      </c>
      <c r="C101" s="5" t="s">
        <v>221</v>
      </c>
      <c r="D101" s="5" t="str">
        <f t="shared" si="2"/>
        <v>LM_VialLurigancho</v>
      </c>
      <c r="E101" s="7" t="s">
        <v>10</v>
      </c>
      <c r="F101" s="8">
        <v>45869</v>
      </c>
      <c r="G101" s="9" t="s">
        <v>11</v>
      </c>
      <c r="H101" s="7">
        <v>-11.9056</v>
      </c>
      <c r="I101" s="7">
        <v>-76.974800000000002</v>
      </c>
      <c r="J101" s="7" t="s">
        <v>12</v>
      </c>
      <c r="K101" s="7" t="s">
        <v>12</v>
      </c>
      <c r="L101" s="7" t="s">
        <v>222</v>
      </c>
      <c r="M101" s="10" t="s">
        <v>594</v>
      </c>
      <c r="N101" t="s">
        <v>650</v>
      </c>
      <c r="O101" s="10" t="s">
        <v>653</v>
      </c>
    </row>
    <row r="102" spans="1:15" ht="15.6" x14ac:dyDescent="0.3">
      <c r="A102" s="3">
        <v>101</v>
      </c>
      <c r="B102" s="4" t="s">
        <v>18</v>
      </c>
      <c r="C102" s="5" t="s">
        <v>223</v>
      </c>
      <c r="D102" s="5" t="str">
        <f t="shared" si="2"/>
        <v>LA_KamiNoMiyako</v>
      </c>
      <c r="E102" s="7" t="s">
        <v>10</v>
      </c>
      <c r="F102" s="8">
        <v>45869</v>
      </c>
      <c r="G102" s="9" t="s">
        <v>11</v>
      </c>
      <c r="H102" s="7">
        <v>-6.7708700000000004</v>
      </c>
      <c r="I102" s="7">
        <v>-79.923199999999994</v>
      </c>
      <c r="J102" s="7" t="s">
        <v>71</v>
      </c>
      <c r="K102" s="7" t="s">
        <v>71</v>
      </c>
      <c r="L102" s="7" t="s">
        <v>224</v>
      </c>
      <c r="M102" s="10" t="s">
        <v>593</v>
      </c>
      <c r="N102" t="s">
        <v>650</v>
      </c>
      <c r="O102" s="10" t="s">
        <v>653</v>
      </c>
    </row>
    <row r="103" spans="1:15" ht="15.6" x14ac:dyDescent="0.3">
      <c r="A103" s="3">
        <v>102</v>
      </c>
      <c r="B103" s="4" t="s">
        <v>8</v>
      </c>
      <c r="C103" s="5" t="s">
        <v>225</v>
      </c>
      <c r="D103" s="5" t="str">
        <f t="shared" si="2"/>
        <v>SM_Mamisha</v>
      </c>
      <c r="E103" s="7" t="s">
        <v>10</v>
      </c>
      <c r="F103" s="8">
        <v>45870</v>
      </c>
      <c r="G103" s="9" t="s">
        <v>11</v>
      </c>
      <c r="H103" s="7">
        <v>-8.4487199999999998</v>
      </c>
      <c r="I103" s="7">
        <v>-76.462500000000006</v>
      </c>
      <c r="J103" s="7" t="s">
        <v>195</v>
      </c>
      <c r="K103" s="7" t="s">
        <v>196</v>
      </c>
      <c r="L103" s="7" t="s">
        <v>197</v>
      </c>
      <c r="M103" s="10" t="s">
        <v>595</v>
      </c>
      <c r="N103" t="s">
        <v>651</v>
      </c>
      <c r="O103" s="10" t="s">
        <v>653</v>
      </c>
    </row>
    <row r="104" spans="1:15" ht="15.6" x14ac:dyDescent="0.3">
      <c r="A104" s="3">
        <v>103</v>
      </c>
      <c r="B104" s="4" t="s">
        <v>18</v>
      </c>
      <c r="C104" s="5" t="s">
        <v>226</v>
      </c>
      <c r="D104" s="5" t="str">
        <f t="shared" si="2"/>
        <v>IC_SanJoseVillacuri</v>
      </c>
      <c r="E104" s="7" t="s">
        <v>10</v>
      </c>
      <c r="F104" s="8">
        <v>45870</v>
      </c>
      <c r="G104" s="9" t="s">
        <v>11</v>
      </c>
      <c r="H104" s="7">
        <v>-13.929500000000001</v>
      </c>
      <c r="I104" s="7">
        <v>-75.920699999999997</v>
      </c>
      <c r="J104" s="7" t="s">
        <v>83</v>
      </c>
      <c r="K104" s="7" t="s">
        <v>83</v>
      </c>
      <c r="L104" s="7" t="s">
        <v>84</v>
      </c>
      <c r="M104" s="10" t="s">
        <v>593</v>
      </c>
      <c r="N104" t="s">
        <v>652</v>
      </c>
      <c r="O104" s="10" t="s">
        <v>653</v>
      </c>
    </row>
    <row r="105" spans="1:15" ht="15.6" x14ac:dyDescent="0.3">
      <c r="A105" s="3">
        <v>104</v>
      </c>
      <c r="B105" s="4" t="s">
        <v>18</v>
      </c>
      <c r="C105" s="5" t="s">
        <v>227</v>
      </c>
      <c r="D105" s="5" t="str">
        <f t="shared" si="2"/>
        <v>UY_SrDeLosMilagros</v>
      </c>
      <c r="E105" s="7" t="s">
        <v>10</v>
      </c>
      <c r="F105" s="8">
        <v>45870</v>
      </c>
      <c r="G105" s="9" t="s">
        <v>11</v>
      </c>
      <c r="H105" s="7">
        <v>-8.3792100000000005</v>
      </c>
      <c r="I105" s="7">
        <v>-74.598100000000002</v>
      </c>
      <c r="J105" s="7" t="s">
        <v>49</v>
      </c>
      <c r="K105" s="7" t="s">
        <v>50</v>
      </c>
      <c r="L105" s="7" t="s">
        <v>228</v>
      </c>
      <c r="M105" s="10" t="s">
        <v>595</v>
      </c>
      <c r="N105" t="s">
        <v>651</v>
      </c>
      <c r="O105" s="10" t="s">
        <v>653</v>
      </c>
    </row>
    <row r="106" spans="1:15" ht="15.6" x14ac:dyDescent="0.3">
      <c r="A106" s="3">
        <v>105</v>
      </c>
      <c r="B106" s="4" t="s">
        <v>18</v>
      </c>
      <c r="C106" s="5" t="s">
        <v>229</v>
      </c>
      <c r="D106" s="5" t="str">
        <f t="shared" si="2"/>
        <v>LM_LibertadChosica</v>
      </c>
      <c r="E106" s="7" t="s">
        <v>10</v>
      </c>
      <c r="F106" s="8">
        <v>45872</v>
      </c>
      <c r="G106" s="9" t="s">
        <v>11</v>
      </c>
      <c r="H106" s="7">
        <v>-11.9321</v>
      </c>
      <c r="I106" s="7">
        <v>-76.695700000000002</v>
      </c>
      <c r="J106" s="7" t="s">
        <v>12</v>
      </c>
      <c r="K106" s="7" t="s">
        <v>12</v>
      </c>
      <c r="L106" s="7" t="s">
        <v>67</v>
      </c>
      <c r="M106" s="10" t="s">
        <v>594</v>
      </c>
      <c r="N106" t="s">
        <v>652</v>
      </c>
      <c r="O106" s="10" t="s">
        <v>653</v>
      </c>
    </row>
    <row r="107" spans="1:15" ht="15.6" x14ac:dyDescent="0.3">
      <c r="A107" s="3">
        <v>106</v>
      </c>
      <c r="B107" s="4" t="s">
        <v>18</v>
      </c>
      <c r="C107" s="5" t="s">
        <v>230</v>
      </c>
      <c r="D107" s="5" t="str">
        <f t="shared" si="2"/>
        <v>AQ_VillaFontana</v>
      </c>
      <c r="E107" s="7" t="s">
        <v>10</v>
      </c>
      <c r="F107" s="8">
        <v>45872</v>
      </c>
      <c r="G107" s="9" t="s">
        <v>11</v>
      </c>
      <c r="H107" s="7">
        <v>-16.3185</v>
      </c>
      <c r="I107" s="7">
        <v>-71.557000000000002</v>
      </c>
      <c r="J107" s="7" t="s">
        <v>20</v>
      </c>
      <c r="K107" s="7" t="s">
        <v>20</v>
      </c>
      <c r="L107" s="7" t="s">
        <v>21</v>
      </c>
      <c r="M107" s="10" t="s">
        <v>592</v>
      </c>
      <c r="N107" t="s">
        <v>651</v>
      </c>
      <c r="O107" s="10" t="s">
        <v>653</v>
      </c>
    </row>
    <row r="108" spans="1:15" ht="15.6" x14ac:dyDescent="0.3">
      <c r="A108" s="3">
        <v>107</v>
      </c>
      <c r="B108" s="4" t="s">
        <v>18</v>
      </c>
      <c r="C108" s="5" t="s">
        <v>231</v>
      </c>
      <c r="D108" s="5" t="str">
        <f t="shared" si="2"/>
        <v>AQ_ParqueCaminoReal</v>
      </c>
      <c r="E108" s="7" t="s">
        <v>10</v>
      </c>
      <c r="F108" s="8">
        <v>45872</v>
      </c>
      <c r="G108" s="9" t="s">
        <v>11</v>
      </c>
      <c r="H108" s="7">
        <v>-16.414400000000001</v>
      </c>
      <c r="I108" s="7">
        <v>-71.519400000000005</v>
      </c>
      <c r="J108" s="7" t="s">
        <v>20</v>
      </c>
      <c r="K108" s="7" t="s">
        <v>20</v>
      </c>
      <c r="L108" s="7" t="s">
        <v>232</v>
      </c>
      <c r="M108" s="10" t="s">
        <v>592</v>
      </c>
      <c r="N108" t="s">
        <v>650</v>
      </c>
      <c r="O108" s="10" t="s">
        <v>653</v>
      </c>
    </row>
    <row r="109" spans="1:15" ht="15.6" x14ac:dyDescent="0.3">
      <c r="A109" s="3">
        <v>108</v>
      </c>
      <c r="B109" s="4" t="s">
        <v>18</v>
      </c>
      <c r="C109" s="5" t="s">
        <v>233</v>
      </c>
      <c r="D109" s="5" t="str">
        <f t="shared" si="2"/>
        <v>PI_MancoraEste</v>
      </c>
      <c r="E109" s="7" t="s">
        <v>10</v>
      </c>
      <c r="F109" s="8">
        <v>45873</v>
      </c>
      <c r="G109" s="9" t="s">
        <v>11</v>
      </c>
      <c r="H109" s="7">
        <v>-4.1032999999999999</v>
      </c>
      <c r="I109" s="7">
        <v>-81.042000000000002</v>
      </c>
      <c r="J109" s="7" t="s">
        <v>53</v>
      </c>
      <c r="K109" s="7" t="s">
        <v>234</v>
      </c>
      <c r="L109" s="7" t="s">
        <v>235</v>
      </c>
      <c r="M109" s="10" t="s">
        <v>593</v>
      </c>
      <c r="N109" t="s">
        <v>650</v>
      </c>
      <c r="O109" s="10" t="s">
        <v>653</v>
      </c>
    </row>
    <row r="110" spans="1:15" ht="15.6" x14ac:dyDescent="0.3">
      <c r="A110" s="3">
        <v>109</v>
      </c>
      <c r="B110" s="4" t="s">
        <v>18</v>
      </c>
      <c r="C110" s="5" t="s">
        <v>236</v>
      </c>
      <c r="D110" s="5" t="str">
        <f t="shared" si="2"/>
        <v>LA_SanTadeo</v>
      </c>
      <c r="E110" s="7" t="s">
        <v>10</v>
      </c>
      <c r="F110" s="8">
        <v>45873</v>
      </c>
      <c r="G110" s="9" t="s">
        <v>11</v>
      </c>
      <c r="H110" s="7">
        <v>-6.7619199999999999</v>
      </c>
      <c r="I110" s="7">
        <v>-79.877899999999997</v>
      </c>
      <c r="J110" s="7" t="s">
        <v>71</v>
      </c>
      <c r="K110" s="7" t="s">
        <v>72</v>
      </c>
      <c r="L110" s="7" t="s">
        <v>73</v>
      </c>
      <c r="M110" s="10" t="s">
        <v>593</v>
      </c>
      <c r="N110" t="s">
        <v>650</v>
      </c>
      <c r="O110" s="10" t="s">
        <v>653</v>
      </c>
    </row>
    <row r="111" spans="1:15" ht="15.6" x14ac:dyDescent="0.3">
      <c r="A111" s="3">
        <v>110</v>
      </c>
      <c r="B111" s="4" t="s">
        <v>18</v>
      </c>
      <c r="C111" s="5" t="s">
        <v>237</v>
      </c>
      <c r="D111" s="5" t="str">
        <f t="shared" si="2"/>
        <v>IC_Achirana</v>
      </c>
      <c r="E111" s="7" t="s">
        <v>10</v>
      </c>
      <c r="F111" s="8">
        <v>45874</v>
      </c>
      <c r="G111" s="9" t="s">
        <v>11</v>
      </c>
      <c r="H111" s="7">
        <v>-14.0291</v>
      </c>
      <c r="I111" s="7">
        <v>-75.708200000000005</v>
      </c>
      <c r="J111" s="7" t="s">
        <v>83</v>
      </c>
      <c r="K111" s="7" t="s">
        <v>83</v>
      </c>
      <c r="L111" s="7" t="s">
        <v>101</v>
      </c>
      <c r="M111" s="10" t="s">
        <v>593</v>
      </c>
      <c r="N111" t="s">
        <v>650</v>
      </c>
      <c r="O111" s="10" t="s">
        <v>653</v>
      </c>
    </row>
    <row r="112" spans="1:15" ht="15.6" x14ac:dyDescent="0.3">
      <c r="A112" s="3">
        <v>111</v>
      </c>
      <c r="B112" s="4" t="s">
        <v>8</v>
      </c>
      <c r="C112" s="5" t="s">
        <v>238</v>
      </c>
      <c r="D112" s="5" t="str">
        <f t="shared" si="2"/>
        <v>AP_EsSaludDeAndahuaylas</v>
      </c>
      <c r="E112" s="7" t="s">
        <v>10</v>
      </c>
      <c r="F112" s="8">
        <v>45874</v>
      </c>
      <c r="G112" s="9" t="s">
        <v>11</v>
      </c>
      <c r="H112" s="7">
        <v>-13.658300000000001</v>
      </c>
      <c r="I112" s="7">
        <v>-73.412099999999995</v>
      </c>
      <c r="J112" s="7" t="s">
        <v>239</v>
      </c>
      <c r="K112" s="7" t="s">
        <v>240</v>
      </c>
      <c r="L112" s="7" t="s">
        <v>240</v>
      </c>
      <c r="M112" s="10" t="s">
        <v>596</v>
      </c>
      <c r="N112" t="s">
        <v>650</v>
      </c>
      <c r="O112" s="10" t="s">
        <v>653</v>
      </c>
    </row>
    <row r="113" spans="1:15" ht="15.6" x14ac:dyDescent="0.3">
      <c r="A113" s="3">
        <v>112</v>
      </c>
      <c r="B113" s="4" t="s">
        <v>18</v>
      </c>
      <c r="C113" s="5" t="s">
        <v>241</v>
      </c>
      <c r="D113" s="5" t="str">
        <f t="shared" si="2"/>
        <v>AN_Jinua</v>
      </c>
      <c r="E113" s="7" t="s">
        <v>10</v>
      </c>
      <c r="F113" s="8">
        <v>45874</v>
      </c>
      <c r="G113" s="9" t="s">
        <v>11</v>
      </c>
      <c r="H113" s="7">
        <v>-9.4940899999999999</v>
      </c>
      <c r="I113" s="7">
        <v>-77.510199999999998</v>
      </c>
      <c r="J113" s="7" t="s">
        <v>122</v>
      </c>
      <c r="K113" s="7" t="s">
        <v>199</v>
      </c>
      <c r="L113" s="7" t="s">
        <v>242</v>
      </c>
      <c r="M113" s="10" t="s">
        <v>593</v>
      </c>
      <c r="N113" t="s">
        <v>651</v>
      </c>
      <c r="O113" s="10" t="s">
        <v>653</v>
      </c>
    </row>
    <row r="114" spans="1:15" ht="15.6" x14ac:dyDescent="0.3">
      <c r="A114" s="3">
        <v>113</v>
      </c>
      <c r="B114" s="4" t="s">
        <v>18</v>
      </c>
      <c r="C114" s="5" t="s">
        <v>243</v>
      </c>
      <c r="D114" s="5" t="str">
        <f t="shared" si="2"/>
        <v>CS_IglesiaYauri</v>
      </c>
      <c r="E114" s="7" t="s">
        <v>10</v>
      </c>
      <c r="F114" s="8">
        <v>45874</v>
      </c>
      <c r="G114" s="9" t="s">
        <v>11</v>
      </c>
      <c r="H114" s="7">
        <v>-14.7942</v>
      </c>
      <c r="I114" s="7">
        <v>-71.412800000000004</v>
      </c>
      <c r="J114" s="7" t="s">
        <v>26</v>
      </c>
      <c r="K114" s="7" t="s">
        <v>114</v>
      </c>
      <c r="L114" s="7" t="s">
        <v>114</v>
      </c>
      <c r="M114" s="10" t="s">
        <v>592</v>
      </c>
      <c r="N114" t="s">
        <v>651</v>
      </c>
      <c r="O114" s="10" t="s">
        <v>653</v>
      </c>
    </row>
    <row r="115" spans="1:15" ht="15.6" x14ac:dyDescent="0.3">
      <c r="A115" s="3">
        <v>114</v>
      </c>
      <c r="B115" s="4" t="s">
        <v>18</v>
      </c>
      <c r="C115" s="5" t="s">
        <v>244</v>
      </c>
      <c r="D115" s="5" t="str">
        <f t="shared" si="2"/>
        <v>CS_ConquistadoresCusco</v>
      </c>
      <c r="E115" s="7" t="s">
        <v>10</v>
      </c>
      <c r="F115" s="8">
        <v>45874</v>
      </c>
      <c r="G115" s="9" t="s">
        <v>11</v>
      </c>
      <c r="H115" s="7">
        <v>-14.798999999999999</v>
      </c>
      <c r="I115" s="7">
        <v>-71.418099999999995</v>
      </c>
      <c r="J115" s="7" t="s">
        <v>26</v>
      </c>
      <c r="K115" s="7" t="s">
        <v>114</v>
      </c>
      <c r="L115" s="7" t="s">
        <v>114</v>
      </c>
      <c r="M115" s="10" t="s">
        <v>592</v>
      </c>
      <c r="N115" t="s">
        <v>650</v>
      </c>
      <c r="O115" s="10" t="s">
        <v>653</v>
      </c>
    </row>
    <row r="116" spans="1:15" ht="15.6" x14ac:dyDescent="0.3">
      <c r="A116" s="3">
        <v>115</v>
      </c>
      <c r="B116" s="4" t="s">
        <v>18</v>
      </c>
      <c r="C116" s="5" t="s">
        <v>245</v>
      </c>
      <c r="D116" s="5" t="str">
        <f t="shared" si="2"/>
        <v>IC_AvSolDeTinguina</v>
      </c>
      <c r="E116" s="7" t="s">
        <v>10</v>
      </c>
      <c r="F116" s="8">
        <v>45874</v>
      </c>
      <c r="G116" s="9" t="s">
        <v>11</v>
      </c>
      <c r="H116" s="7">
        <v>-14.027200000000001</v>
      </c>
      <c r="I116" s="7">
        <v>-75.688699999999997</v>
      </c>
      <c r="J116" s="7" t="s">
        <v>83</v>
      </c>
      <c r="K116" s="7" t="s">
        <v>83</v>
      </c>
      <c r="L116" s="7" t="s">
        <v>101</v>
      </c>
      <c r="M116" s="10" t="s">
        <v>593</v>
      </c>
      <c r="N116" t="s">
        <v>650</v>
      </c>
      <c r="O116" s="10" t="s">
        <v>653</v>
      </c>
    </row>
    <row r="117" spans="1:15" ht="15.6" x14ac:dyDescent="0.3">
      <c r="A117" s="3">
        <v>116</v>
      </c>
      <c r="B117" s="4" t="s">
        <v>18</v>
      </c>
      <c r="C117" s="5" t="s">
        <v>246</v>
      </c>
      <c r="D117" s="5" t="str">
        <f t="shared" si="2"/>
        <v>LA_PaseoFerrenafe</v>
      </c>
      <c r="E117" s="7" t="s">
        <v>10</v>
      </c>
      <c r="F117" s="8">
        <v>45875</v>
      </c>
      <c r="G117" s="9" t="s">
        <v>11</v>
      </c>
      <c r="H117" s="7">
        <v>-6.6395</v>
      </c>
      <c r="I117" s="7">
        <v>-79.800299999999993</v>
      </c>
      <c r="J117" s="7" t="s">
        <v>71</v>
      </c>
      <c r="K117" s="7" t="s">
        <v>247</v>
      </c>
      <c r="L117" s="7" t="s">
        <v>169</v>
      </c>
      <c r="M117" s="10" t="s">
        <v>593</v>
      </c>
      <c r="N117" t="s">
        <v>651</v>
      </c>
      <c r="O117" s="10" t="s">
        <v>653</v>
      </c>
    </row>
    <row r="118" spans="1:15" ht="15.6" x14ac:dyDescent="0.3">
      <c r="A118" s="3">
        <v>117</v>
      </c>
      <c r="B118" s="4" t="s">
        <v>18</v>
      </c>
      <c r="C118" s="5" t="s">
        <v>248</v>
      </c>
      <c r="D118" s="5" t="str">
        <f t="shared" si="2"/>
        <v>LA_LaArboleada</v>
      </c>
      <c r="E118" s="7" t="s">
        <v>10</v>
      </c>
      <c r="F118" s="8">
        <v>45876</v>
      </c>
      <c r="G118" s="9" t="s">
        <v>11</v>
      </c>
      <c r="H118" s="7">
        <v>-6.80471</v>
      </c>
      <c r="I118" s="7">
        <v>-79.884500000000003</v>
      </c>
      <c r="J118" s="7" t="s">
        <v>71</v>
      </c>
      <c r="K118" s="7" t="s">
        <v>72</v>
      </c>
      <c r="L118" s="7" t="s">
        <v>73</v>
      </c>
      <c r="M118" s="10" t="s">
        <v>593</v>
      </c>
      <c r="N118" t="s">
        <v>650</v>
      </c>
      <c r="O118" s="10" t="s">
        <v>653</v>
      </c>
    </row>
    <row r="119" spans="1:15" ht="15.6" x14ac:dyDescent="0.3">
      <c r="A119" s="3">
        <v>118</v>
      </c>
      <c r="B119" s="4" t="s">
        <v>18</v>
      </c>
      <c r="C119" s="5" t="s">
        <v>249</v>
      </c>
      <c r="D119" s="5" t="str">
        <f t="shared" si="2"/>
        <v>CA_MollepampaAlta</v>
      </c>
      <c r="E119" s="7" t="s">
        <v>10</v>
      </c>
      <c r="F119" s="8">
        <v>45876</v>
      </c>
      <c r="G119" s="9" t="s">
        <v>11</v>
      </c>
      <c r="H119" s="7">
        <v>-7.18527</v>
      </c>
      <c r="I119" s="7">
        <v>-78.503600000000006</v>
      </c>
      <c r="J119" s="7" t="s">
        <v>81</v>
      </c>
      <c r="K119" s="7" t="s">
        <v>81</v>
      </c>
      <c r="L119" s="7" t="s">
        <v>81</v>
      </c>
      <c r="M119" s="10" t="s">
        <v>592</v>
      </c>
      <c r="N119" t="s">
        <v>651</v>
      </c>
      <c r="O119" s="10" t="s">
        <v>653</v>
      </c>
    </row>
    <row r="120" spans="1:15" ht="15.6" x14ac:dyDescent="0.3">
      <c r="A120" s="3">
        <v>119</v>
      </c>
      <c r="B120" s="4" t="s">
        <v>18</v>
      </c>
      <c r="C120" s="5" t="s">
        <v>250</v>
      </c>
      <c r="D120" s="5" t="str">
        <f t="shared" si="2"/>
        <v>CA_Llacanora</v>
      </c>
      <c r="E120" s="7" t="s">
        <v>10</v>
      </c>
      <c r="F120" s="8">
        <v>45881</v>
      </c>
      <c r="G120" s="9" t="s">
        <v>11</v>
      </c>
      <c r="H120" s="7">
        <v>-7.2097499999999997</v>
      </c>
      <c r="I120" s="7">
        <v>-78.426199999999994</v>
      </c>
      <c r="J120" s="7" t="s">
        <v>81</v>
      </c>
      <c r="K120" s="7" t="s">
        <v>81</v>
      </c>
      <c r="L120" s="7" t="s">
        <v>251</v>
      </c>
      <c r="M120" s="10" t="s">
        <v>592</v>
      </c>
      <c r="N120" t="s">
        <v>650</v>
      </c>
      <c r="O120" s="10" t="s">
        <v>654</v>
      </c>
    </row>
    <row r="121" spans="1:15" ht="15.6" x14ac:dyDescent="0.3">
      <c r="A121" s="3">
        <v>120</v>
      </c>
      <c r="B121" s="4" t="s">
        <v>252</v>
      </c>
      <c r="C121" s="5" t="s">
        <v>253</v>
      </c>
      <c r="D121" s="5" t="str">
        <f t="shared" si="2"/>
        <v>JU_SenorBajo</v>
      </c>
      <c r="E121" s="7" t="s">
        <v>10</v>
      </c>
      <c r="F121" s="8">
        <v>45882</v>
      </c>
      <c r="G121" s="9" t="s">
        <v>11</v>
      </c>
      <c r="H121" s="7">
        <v>-12.151899999999999</v>
      </c>
      <c r="I121" s="7">
        <v>-75.248000000000005</v>
      </c>
      <c r="J121" s="7" t="s">
        <v>23</v>
      </c>
      <c r="K121" s="7" t="s">
        <v>94</v>
      </c>
      <c r="L121" s="7" t="s">
        <v>254</v>
      </c>
      <c r="M121" s="10" t="s">
        <v>593</v>
      </c>
      <c r="N121" t="s">
        <v>650</v>
      </c>
      <c r="O121" s="10" t="s">
        <v>654</v>
      </c>
    </row>
    <row r="122" spans="1:15" ht="15.6" x14ac:dyDescent="0.3">
      <c r="A122" s="3">
        <v>121</v>
      </c>
      <c r="B122" s="4" t="s">
        <v>252</v>
      </c>
      <c r="C122" s="5" t="s">
        <v>255</v>
      </c>
      <c r="D122" s="5" t="str">
        <f t="shared" si="2"/>
        <v>LA_SolDePimentel</v>
      </c>
      <c r="E122" s="7" t="s">
        <v>10</v>
      </c>
      <c r="F122" s="8">
        <v>45884</v>
      </c>
      <c r="G122" s="9" t="s">
        <v>11</v>
      </c>
      <c r="H122" s="7">
        <v>-6.8092800000000002</v>
      </c>
      <c r="I122" s="7">
        <v>-79.910200000000003</v>
      </c>
      <c r="J122" s="7" t="s">
        <v>71</v>
      </c>
      <c r="K122" s="7" t="s">
        <v>72</v>
      </c>
      <c r="L122" s="7" t="s">
        <v>73</v>
      </c>
      <c r="M122" s="10" t="s">
        <v>593</v>
      </c>
      <c r="N122" t="s">
        <v>650</v>
      </c>
      <c r="O122" s="10" t="s">
        <v>653</v>
      </c>
    </row>
    <row r="123" spans="1:15" ht="15.6" x14ac:dyDescent="0.3">
      <c r="A123" s="3">
        <v>122</v>
      </c>
      <c r="B123" s="4" t="s">
        <v>252</v>
      </c>
      <c r="C123" s="5" t="s">
        <v>256</v>
      </c>
      <c r="D123" s="5" t="str">
        <f t="shared" si="2"/>
        <v>CA_AvInmaculadaJaen</v>
      </c>
      <c r="E123" s="7" t="s">
        <v>10</v>
      </c>
      <c r="F123" s="8">
        <v>45887</v>
      </c>
      <c r="G123" s="9" t="s">
        <v>11</v>
      </c>
      <c r="H123" s="7">
        <v>-5.7132500000000004</v>
      </c>
      <c r="I123" s="7">
        <v>-78.793199999999999</v>
      </c>
      <c r="J123" s="7" t="s">
        <v>81</v>
      </c>
      <c r="K123" s="7" t="s">
        <v>151</v>
      </c>
      <c r="L123" s="7" t="s">
        <v>151</v>
      </c>
      <c r="M123" s="10" t="s">
        <v>592</v>
      </c>
      <c r="N123" t="s">
        <v>651</v>
      </c>
      <c r="O123" s="10" t="s">
        <v>653</v>
      </c>
    </row>
    <row r="124" spans="1:15" ht="15.6" x14ac:dyDescent="0.3">
      <c r="A124" s="3">
        <v>123</v>
      </c>
      <c r="B124" s="4" t="s">
        <v>18</v>
      </c>
      <c r="C124" s="5" t="s">
        <v>257</v>
      </c>
      <c r="D124" s="5" t="str">
        <f t="shared" si="2"/>
        <v>JU_Wayra</v>
      </c>
      <c r="E124" s="7" t="s">
        <v>10</v>
      </c>
      <c r="F124" s="8">
        <v>45889</v>
      </c>
      <c r="G124" s="9" t="s">
        <v>11</v>
      </c>
      <c r="H124" s="7">
        <v>-12.0511</v>
      </c>
      <c r="I124" s="7">
        <v>-75.190299999999993</v>
      </c>
      <c r="J124" s="7" t="s">
        <v>23</v>
      </c>
      <c r="K124" s="7" t="s">
        <v>24</v>
      </c>
      <c r="L124" s="7" t="s">
        <v>24</v>
      </c>
      <c r="M124" s="10" t="s">
        <v>593</v>
      </c>
      <c r="N124" t="s">
        <v>651</v>
      </c>
      <c r="O124" s="10" t="s">
        <v>653</v>
      </c>
    </row>
    <row r="125" spans="1:15" ht="15.6" x14ac:dyDescent="0.3">
      <c r="A125" s="3">
        <v>124</v>
      </c>
      <c r="B125" s="4" t="s">
        <v>18</v>
      </c>
      <c r="C125" s="5" t="s">
        <v>258</v>
      </c>
      <c r="D125" s="5" t="str">
        <f t="shared" si="2"/>
        <v>CA_Negropampa</v>
      </c>
      <c r="E125" s="7" t="s">
        <v>10</v>
      </c>
      <c r="F125" s="8">
        <v>45890</v>
      </c>
      <c r="G125" s="9" t="s">
        <v>11</v>
      </c>
      <c r="H125" s="7">
        <v>-6.6115300000000001</v>
      </c>
      <c r="I125" s="7">
        <v>-78.616900000000001</v>
      </c>
      <c r="J125" s="7" t="s">
        <v>81</v>
      </c>
      <c r="K125" s="7" t="s">
        <v>259</v>
      </c>
      <c r="L125" s="7" t="s">
        <v>259</v>
      </c>
      <c r="M125" s="10" t="s">
        <v>592</v>
      </c>
      <c r="N125" t="s">
        <v>650</v>
      </c>
      <c r="O125" s="10" t="s">
        <v>654</v>
      </c>
    </row>
    <row r="126" spans="1:15" ht="15.6" x14ac:dyDescent="0.3">
      <c r="A126" s="3">
        <v>125</v>
      </c>
      <c r="B126" s="4" t="s">
        <v>260</v>
      </c>
      <c r="C126" s="5" t="s">
        <v>261</v>
      </c>
      <c r="D126" s="5" t="str">
        <f t="shared" si="2"/>
        <v>LO_Diresa</v>
      </c>
      <c r="E126" s="7" t="s">
        <v>10</v>
      </c>
      <c r="F126" s="8">
        <v>45894</v>
      </c>
      <c r="G126" s="9" t="s">
        <v>11</v>
      </c>
      <c r="H126" s="7">
        <v>-3.7243599999999999</v>
      </c>
      <c r="I126" s="7">
        <v>-73.255499999999998</v>
      </c>
      <c r="J126" s="7" t="s">
        <v>134</v>
      </c>
      <c r="K126" s="7" t="s">
        <v>135</v>
      </c>
      <c r="L126" s="7" t="s">
        <v>136</v>
      </c>
      <c r="M126" s="10" t="s">
        <v>596</v>
      </c>
      <c r="N126" t="s">
        <v>652</v>
      </c>
      <c r="O126" s="10" t="s">
        <v>653</v>
      </c>
    </row>
    <row r="127" spans="1:15" ht="15.6" x14ac:dyDescent="0.3">
      <c r="A127" s="3">
        <v>126</v>
      </c>
      <c r="B127" s="4" t="s">
        <v>18</v>
      </c>
      <c r="C127" s="5" t="s">
        <v>262</v>
      </c>
      <c r="D127" s="5" t="str">
        <f t="shared" si="2"/>
        <v>PI_SullanaIndustrial</v>
      </c>
      <c r="E127" s="7" t="s">
        <v>10</v>
      </c>
      <c r="F127" s="8">
        <v>45894</v>
      </c>
      <c r="G127" s="9" t="s">
        <v>11</v>
      </c>
      <c r="H127" s="7">
        <v>-4.9400000000000004</v>
      </c>
      <c r="I127" s="7">
        <v>-80.697699999999998</v>
      </c>
      <c r="J127" s="7" t="s">
        <v>53</v>
      </c>
      <c r="K127" s="7" t="s">
        <v>78</v>
      </c>
      <c r="L127" s="7" t="s">
        <v>78</v>
      </c>
      <c r="M127" s="10" t="s">
        <v>593</v>
      </c>
      <c r="N127" t="s">
        <v>650</v>
      </c>
      <c r="O127" s="10" t="s">
        <v>653</v>
      </c>
    </row>
    <row r="128" spans="1:15" ht="15.6" x14ac:dyDescent="0.3">
      <c r="A128" s="3">
        <v>127</v>
      </c>
      <c r="B128" s="4" t="s">
        <v>18</v>
      </c>
      <c r="C128" s="5" t="s">
        <v>263</v>
      </c>
      <c r="D128" s="5" t="str">
        <f t="shared" si="2"/>
        <v>PI_Sapillica</v>
      </c>
      <c r="E128" s="7" t="s">
        <v>10</v>
      </c>
      <c r="F128" s="8">
        <v>45894</v>
      </c>
      <c r="G128" s="9" t="s">
        <v>11</v>
      </c>
      <c r="H128" s="7">
        <v>-4.6592900000000004</v>
      </c>
      <c r="I128" s="7">
        <v>-80.230400000000003</v>
      </c>
      <c r="J128" s="7" t="s">
        <v>53</v>
      </c>
      <c r="K128" s="7" t="s">
        <v>53</v>
      </c>
      <c r="L128" s="7" t="s">
        <v>264</v>
      </c>
      <c r="M128" s="10" t="s">
        <v>593</v>
      </c>
      <c r="N128" t="s">
        <v>650</v>
      </c>
      <c r="O128" s="10" t="s">
        <v>653</v>
      </c>
    </row>
    <row r="129" spans="1:15" ht="15.6" x14ac:dyDescent="0.3">
      <c r="A129" s="3">
        <v>128</v>
      </c>
      <c r="B129" s="4" t="s">
        <v>18</v>
      </c>
      <c r="C129" s="5" t="s">
        <v>265</v>
      </c>
      <c r="D129" s="5" t="str">
        <f t="shared" si="2"/>
        <v>CA_CampestreCelendin</v>
      </c>
      <c r="E129" s="7" t="s">
        <v>10</v>
      </c>
      <c r="F129" s="8">
        <v>45895</v>
      </c>
      <c r="G129" s="9" t="s">
        <v>11</v>
      </c>
      <c r="H129" s="7">
        <v>-6.8741099999999999</v>
      </c>
      <c r="I129" s="7">
        <v>-78.156300000000002</v>
      </c>
      <c r="J129" s="7" t="s">
        <v>81</v>
      </c>
      <c r="K129" s="7" t="s">
        <v>266</v>
      </c>
      <c r="L129" s="7" t="s">
        <v>266</v>
      </c>
      <c r="M129" s="10" t="s">
        <v>592</v>
      </c>
      <c r="N129" t="s">
        <v>651</v>
      </c>
      <c r="O129" s="10" t="s">
        <v>653</v>
      </c>
    </row>
    <row r="130" spans="1:15" ht="15.6" x14ac:dyDescent="0.3">
      <c r="A130" s="3">
        <v>129</v>
      </c>
      <c r="B130" s="4" t="s">
        <v>18</v>
      </c>
      <c r="C130" s="5" t="s">
        <v>267</v>
      </c>
      <c r="D130" s="5" t="str">
        <f t="shared" si="2"/>
        <v>LA_EtenCiudad</v>
      </c>
      <c r="E130" s="7" t="s">
        <v>10</v>
      </c>
      <c r="F130" s="8">
        <v>45897</v>
      </c>
      <c r="G130" s="9" t="s">
        <v>11</v>
      </c>
      <c r="H130" s="7">
        <v>-6.90829</v>
      </c>
      <c r="I130" s="7">
        <v>-79.864400000000003</v>
      </c>
      <c r="J130" s="7" t="s">
        <v>71</v>
      </c>
      <c r="K130" s="7" t="s">
        <v>72</v>
      </c>
      <c r="L130" s="7" t="s">
        <v>268</v>
      </c>
      <c r="M130" s="10" t="s">
        <v>593</v>
      </c>
      <c r="N130" t="s">
        <v>650</v>
      </c>
      <c r="O130" s="10" t="s">
        <v>653</v>
      </c>
    </row>
    <row r="131" spans="1:15" ht="15.6" x14ac:dyDescent="0.3">
      <c r="A131" s="3">
        <v>130</v>
      </c>
      <c r="B131" s="4" t="s">
        <v>18</v>
      </c>
      <c r="C131" s="5" t="s">
        <v>269</v>
      </c>
      <c r="D131" s="5" t="str">
        <f t="shared" si="2"/>
        <v>LM_Metodista</v>
      </c>
      <c r="E131" s="7" t="s">
        <v>10</v>
      </c>
      <c r="F131" s="8">
        <v>45897</v>
      </c>
      <c r="G131" s="9" t="s">
        <v>11</v>
      </c>
      <c r="H131" s="7">
        <v>-11.879899999999999</v>
      </c>
      <c r="I131" s="7">
        <v>-77.037099999999995</v>
      </c>
      <c r="J131" s="7" t="s">
        <v>12</v>
      </c>
      <c r="K131" s="7" t="s">
        <v>12</v>
      </c>
      <c r="L131" s="7" t="s">
        <v>43</v>
      </c>
      <c r="M131" s="10" t="s">
        <v>594</v>
      </c>
      <c r="N131" t="s">
        <v>651</v>
      </c>
      <c r="O131" s="10" t="s">
        <v>653</v>
      </c>
    </row>
    <row r="132" spans="1:15" ht="15.6" x14ac:dyDescent="0.3">
      <c r="A132" s="3">
        <v>131</v>
      </c>
      <c r="B132" s="4" t="s">
        <v>18</v>
      </c>
      <c r="C132" s="5" t="s">
        <v>270</v>
      </c>
      <c r="D132" s="5" t="str">
        <f t="shared" si="2"/>
        <v>PN_ManazoCiudad</v>
      </c>
      <c r="E132" s="7" t="s">
        <v>10</v>
      </c>
      <c r="F132" s="8">
        <v>45897</v>
      </c>
      <c r="G132" s="9" t="s">
        <v>11</v>
      </c>
      <c r="H132" s="7">
        <v>-15.8034</v>
      </c>
      <c r="I132" s="7">
        <v>-70.343299999999999</v>
      </c>
      <c r="J132" s="7" t="s">
        <v>126</v>
      </c>
      <c r="K132" s="7" t="s">
        <v>126</v>
      </c>
      <c r="L132" s="7" t="s">
        <v>271</v>
      </c>
      <c r="M132" s="10" t="s">
        <v>592</v>
      </c>
      <c r="N132" t="s">
        <v>650</v>
      </c>
      <c r="O132" s="10" t="s">
        <v>653</v>
      </c>
    </row>
    <row r="133" spans="1:15" ht="15.6" x14ac:dyDescent="0.3">
      <c r="A133" s="3">
        <v>132</v>
      </c>
      <c r="B133" s="4" t="s">
        <v>18</v>
      </c>
      <c r="C133" s="5" t="s">
        <v>272</v>
      </c>
      <c r="D133" s="5" t="str">
        <f t="shared" si="2"/>
        <v>IC_LaPrometida</v>
      </c>
      <c r="E133" s="7" t="s">
        <v>10</v>
      </c>
      <c r="F133" s="8">
        <v>45900</v>
      </c>
      <c r="G133" s="9" t="s">
        <v>11</v>
      </c>
      <c r="H133" s="7">
        <v>-14.0768</v>
      </c>
      <c r="I133" s="7">
        <v>-75.781800000000004</v>
      </c>
      <c r="J133" s="7" t="s">
        <v>83</v>
      </c>
      <c r="K133" s="7" t="s">
        <v>83</v>
      </c>
      <c r="L133" s="7" t="s">
        <v>83</v>
      </c>
      <c r="M133" s="10" t="s">
        <v>593</v>
      </c>
      <c r="N133" t="s">
        <v>650</v>
      </c>
      <c r="O133" s="10" t="s">
        <v>653</v>
      </c>
    </row>
    <row r="134" spans="1:15" ht="15.6" x14ac:dyDescent="0.3">
      <c r="A134" s="3">
        <v>133</v>
      </c>
      <c r="B134" s="4" t="s">
        <v>18</v>
      </c>
      <c r="C134" s="5" t="s">
        <v>273</v>
      </c>
      <c r="D134" s="5" t="str">
        <f t="shared" si="2"/>
        <v>PI_RioViejoNorte</v>
      </c>
      <c r="E134" s="7" t="s">
        <v>10</v>
      </c>
      <c r="F134" s="8">
        <v>45900</v>
      </c>
      <c r="G134" s="9" t="s">
        <v>11</v>
      </c>
      <c r="H134" s="7">
        <v>-5.3160600000000002</v>
      </c>
      <c r="I134" s="7">
        <v>-80.721900000000005</v>
      </c>
      <c r="J134" s="7" t="s">
        <v>53</v>
      </c>
      <c r="K134" s="7" t="s">
        <v>53</v>
      </c>
      <c r="L134" s="7" t="s">
        <v>274</v>
      </c>
      <c r="M134" s="10" t="s">
        <v>593</v>
      </c>
      <c r="N134" t="s">
        <v>650</v>
      </c>
      <c r="O134" s="10" t="s">
        <v>653</v>
      </c>
    </row>
    <row r="135" spans="1:15" ht="15.6" x14ac:dyDescent="0.3">
      <c r="A135" s="3">
        <v>134</v>
      </c>
      <c r="B135" s="4" t="s">
        <v>18</v>
      </c>
      <c r="C135" s="5" t="s">
        <v>275</v>
      </c>
      <c r="D135" s="5" t="str">
        <f t="shared" si="2"/>
        <v>PI_PenaElAlgarrobo</v>
      </c>
      <c r="E135" s="7" t="s">
        <v>10</v>
      </c>
      <c r="F135" s="8">
        <v>45900</v>
      </c>
      <c r="G135" s="9" t="s">
        <v>11</v>
      </c>
      <c r="H135" s="7">
        <v>-5.1699299999999999</v>
      </c>
      <c r="I135" s="7">
        <v>-80.590599999999995</v>
      </c>
      <c r="J135" s="7" t="s">
        <v>53</v>
      </c>
      <c r="K135" s="7" t="s">
        <v>53</v>
      </c>
      <c r="L135" s="7" t="s">
        <v>61</v>
      </c>
      <c r="M135" s="10" t="s">
        <v>593</v>
      </c>
      <c r="N135" t="s">
        <v>650</v>
      </c>
      <c r="O135" s="10" t="s">
        <v>653</v>
      </c>
    </row>
    <row r="136" spans="1:15" ht="15.6" x14ac:dyDescent="0.3">
      <c r="A136" s="3">
        <v>135</v>
      </c>
      <c r="B136" s="4" t="s">
        <v>18</v>
      </c>
      <c r="C136" s="5" t="s">
        <v>276</v>
      </c>
      <c r="D136" s="5" t="str">
        <f t="shared" si="2"/>
        <v>PN_RittyKucho</v>
      </c>
      <c r="E136" s="7" t="s">
        <v>10</v>
      </c>
      <c r="F136" s="8">
        <v>45900</v>
      </c>
      <c r="G136" s="9" t="s">
        <v>11</v>
      </c>
      <c r="H136" s="7">
        <v>-14.6221</v>
      </c>
      <c r="I136" s="7">
        <v>-69.444100000000006</v>
      </c>
      <c r="J136" s="7" t="s">
        <v>126</v>
      </c>
      <c r="K136" s="7" t="s">
        <v>277</v>
      </c>
      <c r="L136" s="7" t="s">
        <v>278</v>
      </c>
      <c r="M136" s="10" t="s">
        <v>592</v>
      </c>
      <c r="N136" t="s">
        <v>650</v>
      </c>
      <c r="O136" s="10" t="s">
        <v>653</v>
      </c>
    </row>
    <row r="137" spans="1:15" ht="15.6" x14ac:dyDescent="0.3">
      <c r="A137" s="3">
        <v>136</v>
      </c>
      <c r="B137" s="4" t="s">
        <v>18</v>
      </c>
      <c r="C137" s="5" t="s">
        <v>279</v>
      </c>
      <c r="D137" s="5" t="str">
        <f t="shared" ref="D137:D200" si="3">+RIGHT(C137,LEN(C137)-10)</f>
        <v>LM_EscuelaDeInfanteria</v>
      </c>
      <c r="E137" s="7" t="s">
        <v>10</v>
      </c>
      <c r="F137" s="8">
        <v>45897</v>
      </c>
      <c r="G137" s="9" t="s">
        <v>11</v>
      </c>
      <c r="H137" s="7">
        <v>-11.7507</v>
      </c>
      <c r="I137" s="7">
        <v>-77.161299999999997</v>
      </c>
      <c r="J137" s="7" t="s">
        <v>12</v>
      </c>
      <c r="K137" s="7" t="s">
        <v>12</v>
      </c>
      <c r="L137" s="7" t="s">
        <v>280</v>
      </c>
      <c r="M137" s="10" t="s">
        <v>594</v>
      </c>
      <c r="N137" t="s">
        <v>650</v>
      </c>
      <c r="O137" s="10" t="s">
        <v>653</v>
      </c>
    </row>
    <row r="138" spans="1:15" ht="15.6" x14ac:dyDescent="0.3">
      <c r="A138" s="3">
        <v>137</v>
      </c>
      <c r="B138" s="4" t="s">
        <v>18</v>
      </c>
      <c r="C138" s="5" t="s">
        <v>281</v>
      </c>
      <c r="D138" s="5" t="str">
        <f t="shared" si="3"/>
        <v>LM_AsocMarAncon</v>
      </c>
      <c r="E138" s="7" t="s">
        <v>10</v>
      </c>
      <c r="F138" s="8">
        <v>45900</v>
      </c>
      <c r="G138" s="9" t="s">
        <v>11</v>
      </c>
      <c r="H138" s="7">
        <v>-11.739599999999999</v>
      </c>
      <c r="I138" s="7">
        <v>-77.160899999999998</v>
      </c>
      <c r="J138" s="7" t="s">
        <v>12</v>
      </c>
      <c r="K138" s="7" t="s">
        <v>12</v>
      </c>
      <c r="L138" s="7" t="s">
        <v>280</v>
      </c>
      <c r="M138" s="10" t="s">
        <v>594</v>
      </c>
      <c r="N138" t="s">
        <v>650</v>
      </c>
      <c r="O138" s="10" t="s">
        <v>653</v>
      </c>
    </row>
    <row r="139" spans="1:15" ht="15.6" x14ac:dyDescent="0.3">
      <c r="A139" s="3">
        <v>138</v>
      </c>
      <c r="B139" s="4" t="s">
        <v>18</v>
      </c>
      <c r="C139" s="5" t="s">
        <v>282</v>
      </c>
      <c r="D139" s="5" t="str">
        <f t="shared" si="3"/>
        <v>LA_Estridon</v>
      </c>
      <c r="E139" s="7" t="s">
        <v>10</v>
      </c>
      <c r="F139" s="8">
        <v>45902</v>
      </c>
      <c r="G139" s="9" t="s">
        <v>11</v>
      </c>
      <c r="H139" s="7">
        <v>-6.7797700000000001</v>
      </c>
      <c r="I139" s="7">
        <v>-79.892300000000006</v>
      </c>
      <c r="J139" s="7" t="s">
        <v>71</v>
      </c>
      <c r="K139" s="7" t="s">
        <v>72</v>
      </c>
      <c r="L139" s="7" t="s">
        <v>73</v>
      </c>
      <c r="M139" s="10" t="s">
        <v>593</v>
      </c>
      <c r="N139" t="s">
        <v>650</v>
      </c>
      <c r="O139" s="10" t="s">
        <v>653</v>
      </c>
    </row>
    <row r="140" spans="1:15" ht="15.6" x14ac:dyDescent="0.3">
      <c r="A140" s="3">
        <v>139</v>
      </c>
      <c r="B140" s="4" t="s">
        <v>18</v>
      </c>
      <c r="C140" s="5" t="s">
        <v>283</v>
      </c>
      <c r="D140" s="5" t="str">
        <f t="shared" si="3"/>
        <v>PI_LasCapullanas</v>
      </c>
      <c r="E140" s="7" t="s">
        <v>10</v>
      </c>
      <c r="F140" s="8">
        <v>45902</v>
      </c>
      <c r="G140" s="9" t="s">
        <v>11</v>
      </c>
      <c r="H140" s="7">
        <v>-4.9004099999999999</v>
      </c>
      <c r="I140" s="7">
        <v>-80.69</v>
      </c>
      <c r="J140" s="7" t="s">
        <v>53</v>
      </c>
      <c r="K140" s="7" t="s">
        <v>78</v>
      </c>
      <c r="L140" s="7" t="s">
        <v>78</v>
      </c>
      <c r="M140" s="10" t="s">
        <v>593</v>
      </c>
      <c r="N140" t="s">
        <v>650</v>
      </c>
      <c r="O140" s="10" t="s">
        <v>653</v>
      </c>
    </row>
    <row r="141" spans="1:15" ht="15.6" x14ac:dyDescent="0.3">
      <c r="A141" s="3">
        <v>140</v>
      </c>
      <c r="B141" s="4" t="s">
        <v>18</v>
      </c>
      <c r="C141" s="5" t="s">
        <v>284</v>
      </c>
      <c r="D141" s="5" t="str">
        <f t="shared" si="3"/>
        <v>PI_VillaLaPaz</v>
      </c>
      <c r="E141" s="7" t="s">
        <v>10</v>
      </c>
      <c r="F141" s="8">
        <v>45902</v>
      </c>
      <c r="G141" s="9" t="s">
        <v>11</v>
      </c>
      <c r="H141" s="7">
        <v>-4.9193600000000002</v>
      </c>
      <c r="I141" s="7">
        <v>-80.664900000000003</v>
      </c>
      <c r="J141" s="7" t="s">
        <v>53</v>
      </c>
      <c r="K141" s="7" t="s">
        <v>78</v>
      </c>
      <c r="L141" s="7" t="s">
        <v>78</v>
      </c>
      <c r="M141" s="10" t="s">
        <v>593</v>
      </c>
      <c r="N141" t="s">
        <v>650</v>
      </c>
      <c r="O141" s="10" t="s">
        <v>653</v>
      </c>
    </row>
    <row r="142" spans="1:15" ht="15.6" x14ac:dyDescent="0.3">
      <c r="A142" s="3">
        <v>141</v>
      </c>
      <c r="B142" s="4" t="s">
        <v>18</v>
      </c>
      <c r="C142" s="5" t="s">
        <v>285</v>
      </c>
      <c r="D142" s="5" t="str">
        <f t="shared" si="3"/>
        <v>JU_MonasterioTarma</v>
      </c>
      <c r="E142" s="7" t="s">
        <v>10</v>
      </c>
      <c r="F142" s="8">
        <v>45902</v>
      </c>
      <c r="G142" s="9" t="s">
        <v>11</v>
      </c>
      <c r="H142" s="7">
        <v>-11.4185</v>
      </c>
      <c r="I142" s="7">
        <v>-75.700900000000004</v>
      </c>
      <c r="J142" s="7" t="s">
        <v>23</v>
      </c>
      <c r="K142" s="7" t="s">
        <v>286</v>
      </c>
      <c r="L142" s="7" t="s">
        <v>286</v>
      </c>
      <c r="M142" s="10" t="s">
        <v>593</v>
      </c>
      <c r="N142" t="s">
        <v>650</v>
      </c>
      <c r="O142" s="10" t="s">
        <v>653</v>
      </c>
    </row>
    <row r="143" spans="1:15" ht="15.6" x14ac:dyDescent="0.3">
      <c r="A143" s="3">
        <v>142</v>
      </c>
      <c r="B143" s="4" t="s">
        <v>260</v>
      </c>
      <c r="C143" s="5" t="s">
        <v>287</v>
      </c>
      <c r="D143" s="5" t="str">
        <f t="shared" si="3"/>
        <v>LM_MacroEstacionPiramide</v>
      </c>
      <c r="E143" s="7" t="s">
        <v>10</v>
      </c>
      <c r="F143" s="8">
        <v>45902</v>
      </c>
      <c r="G143" s="9" t="s">
        <v>11</v>
      </c>
      <c r="H143" s="7">
        <v>-12.0174</v>
      </c>
      <c r="I143" s="7">
        <v>-77.001999999999995</v>
      </c>
      <c r="J143" s="7" t="s">
        <v>12</v>
      </c>
      <c r="K143" s="7" t="s">
        <v>12</v>
      </c>
      <c r="L143" s="7" t="s">
        <v>222</v>
      </c>
      <c r="M143" s="10" t="s">
        <v>594</v>
      </c>
      <c r="N143" t="s">
        <v>651</v>
      </c>
      <c r="O143" s="10" t="s">
        <v>653</v>
      </c>
    </row>
    <row r="144" spans="1:15" ht="15.6" x14ac:dyDescent="0.3">
      <c r="A144" s="3">
        <v>143</v>
      </c>
      <c r="B144" s="4" t="s">
        <v>18</v>
      </c>
      <c r="C144" s="5" t="s">
        <v>288</v>
      </c>
      <c r="D144" s="5" t="str">
        <f t="shared" si="3"/>
        <v>IC_CanteraParcona</v>
      </c>
      <c r="E144" s="7" t="s">
        <v>10</v>
      </c>
      <c r="F144" s="8">
        <v>45902</v>
      </c>
      <c r="G144" s="9" t="s">
        <v>11</v>
      </c>
      <c r="H144" s="7">
        <v>-14.0611</v>
      </c>
      <c r="I144" s="7">
        <v>-75.685400000000001</v>
      </c>
      <c r="J144" s="7" t="s">
        <v>83</v>
      </c>
      <c r="K144" s="7" t="s">
        <v>83</v>
      </c>
      <c r="L144" s="7" t="s">
        <v>189</v>
      </c>
      <c r="M144" s="10" t="s">
        <v>593</v>
      </c>
      <c r="N144" t="s">
        <v>650</v>
      </c>
      <c r="O144" s="10" t="s">
        <v>653</v>
      </c>
    </row>
    <row r="145" spans="1:15" ht="15.6" x14ac:dyDescent="0.3">
      <c r="A145" s="3">
        <v>144</v>
      </c>
      <c r="B145" s="4" t="s">
        <v>18</v>
      </c>
      <c r="C145" s="5" t="s">
        <v>289</v>
      </c>
      <c r="D145" s="5" t="str">
        <f t="shared" si="3"/>
        <v>AN_CaminoACopampa</v>
      </c>
      <c r="E145" s="7" t="s">
        <v>10</v>
      </c>
      <c r="F145" s="8">
        <v>45902</v>
      </c>
      <c r="G145" s="9" t="s">
        <v>11</v>
      </c>
      <c r="H145" s="7">
        <v>-9.2886600000000001</v>
      </c>
      <c r="I145" s="7">
        <v>-77.632599999999996</v>
      </c>
      <c r="J145" s="7" t="s">
        <v>122</v>
      </c>
      <c r="K145" s="7" t="s">
        <v>290</v>
      </c>
      <c r="L145" s="7" t="s">
        <v>290</v>
      </c>
      <c r="M145" s="10" t="s">
        <v>593</v>
      </c>
      <c r="N145" t="s">
        <v>650</v>
      </c>
      <c r="O145" s="10" t="s">
        <v>653</v>
      </c>
    </row>
    <row r="146" spans="1:15" ht="15.6" x14ac:dyDescent="0.3">
      <c r="A146" s="3">
        <v>145</v>
      </c>
      <c r="B146" s="4" t="s">
        <v>18</v>
      </c>
      <c r="C146" s="5" t="s">
        <v>291</v>
      </c>
      <c r="D146" s="5" t="str">
        <f t="shared" si="3"/>
        <v>PI_Cieneguillo</v>
      </c>
      <c r="E146" s="7" t="s">
        <v>10</v>
      </c>
      <c r="F146" s="8">
        <v>45905</v>
      </c>
      <c r="G146" s="9" t="s">
        <v>11</v>
      </c>
      <c r="H146" s="7">
        <v>-4.9234799999999996</v>
      </c>
      <c r="I146" s="7">
        <v>-80.661199999999994</v>
      </c>
      <c r="J146" s="7" t="s">
        <v>53</v>
      </c>
      <c r="K146" s="7" t="s">
        <v>78</v>
      </c>
      <c r="L146" s="7" t="s">
        <v>78</v>
      </c>
      <c r="M146" s="10" t="s">
        <v>593</v>
      </c>
      <c r="N146" t="s">
        <v>650</v>
      </c>
      <c r="O146" s="10" t="s">
        <v>653</v>
      </c>
    </row>
    <row r="147" spans="1:15" ht="15.6" x14ac:dyDescent="0.3">
      <c r="A147" s="3">
        <v>146</v>
      </c>
      <c r="B147" s="4" t="s">
        <v>18</v>
      </c>
      <c r="C147" s="5" t="s">
        <v>292</v>
      </c>
      <c r="D147" s="5" t="str">
        <f t="shared" si="3"/>
        <v>PI_LasAmapolas</v>
      </c>
      <c r="E147" s="7" t="s">
        <v>10</v>
      </c>
      <c r="F147" s="8">
        <v>45905</v>
      </c>
      <c r="G147" s="9" t="s">
        <v>11</v>
      </c>
      <c r="H147" s="7">
        <v>-5.1551600000000004</v>
      </c>
      <c r="I147" s="7">
        <v>-80.666899999999998</v>
      </c>
      <c r="J147" s="7" t="s">
        <v>53</v>
      </c>
      <c r="K147" s="7" t="s">
        <v>53</v>
      </c>
      <c r="L147" s="7" t="s">
        <v>89</v>
      </c>
      <c r="M147" s="10" t="s">
        <v>593</v>
      </c>
      <c r="N147" t="s">
        <v>650</v>
      </c>
      <c r="O147" s="10" t="s">
        <v>653</v>
      </c>
    </row>
    <row r="148" spans="1:15" ht="15.6" x14ac:dyDescent="0.3">
      <c r="A148" s="3">
        <v>147</v>
      </c>
      <c r="B148" s="4" t="s">
        <v>260</v>
      </c>
      <c r="C148" s="5" t="s">
        <v>293</v>
      </c>
      <c r="D148" s="5" t="str">
        <f t="shared" si="3"/>
        <v>LM_LasVegasDePuentePiedra</v>
      </c>
      <c r="E148" s="7" t="s">
        <v>10</v>
      </c>
      <c r="F148" s="8">
        <v>45905</v>
      </c>
      <c r="G148" s="9" t="s">
        <v>11</v>
      </c>
      <c r="H148" s="7">
        <v>-11.870200000000001</v>
      </c>
      <c r="I148" s="7">
        <v>-77.072100000000006</v>
      </c>
      <c r="J148" s="7" t="s">
        <v>12</v>
      </c>
      <c r="K148" s="7" t="s">
        <v>12</v>
      </c>
      <c r="L148" s="7" t="s">
        <v>294</v>
      </c>
      <c r="M148" s="10" t="s">
        <v>594</v>
      </c>
      <c r="N148" t="s">
        <v>650</v>
      </c>
      <c r="O148" s="10" t="s">
        <v>653</v>
      </c>
    </row>
    <row r="149" spans="1:15" ht="15.6" x14ac:dyDescent="0.3">
      <c r="A149" s="3">
        <v>148</v>
      </c>
      <c r="B149" s="4" t="s">
        <v>18</v>
      </c>
      <c r="C149" s="5" t="s">
        <v>295</v>
      </c>
      <c r="D149" s="5" t="str">
        <f t="shared" si="3"/>
        <v>AQ_QuinceDeAgosto</v>
      </c>
      <c r="E149" s="7" t="s">
        <v>10</v>
      </c>
      <c r="F149" s="8">
        <v>45905</v>
      </c>
      <c r="G149" s="9" t="s">
        <v>11</v>
      </c>
      <c r="H149" s="7">
        <v>-16.415800000000001</v>
      </c>
      <c r="I149" s="7">
        <v>-71.581599999999995</v>
      </c>
      <c r="J149" s="7" t="s">
        <v>20</v>
      </c>
      <c r="K149" s="7" t="s">
        <v>20</v>
      </c>
      <c r="L149" s="7" t="s">
        <v>296</v>
      </c>
      <c r="M149" s="10" t="s">
        <v>592</v>
      </c>
      <c r="N149" t="s">
        <v>650</v>
      </c>
      <c r="O149" s="10" t="s">
        <v>653</v>
      </c>
    </row>
    <row r="150" spans="1:15" ht="15.6" x14ac:dyDescent="0.3">
      <c r="A150" s="3">
        <v>149</v>
      </c>
      <c r="B150" s="4" t="s">
        <v>18</v>
      </c>
      <c r="C150" s="5" t="s">
        <v>297</v>
      </c>
      <c r="D150" s="5" t="str">
        <f t="shared" si="3"/>
        <v>PN_Uchunchullis</v>
      </c>
      <c r="E150" s="7" t="s">
        <v>10</v>
      </c>
      <c r="F150" s="8">
        <v>45905</v>
      </c>
      <c r="G150" s="9" t="s">
        <v>11</v>
      </c>
      <c r="H150" s="7">
        <v>-15.8566</v>
      </c>
      <c r="I150" s="7">
        <v>-70.022000000000006</v>
      </c>
      <c r="J150" s="7" t="s">
        <v>126</v>
      </c>
      <c r="K150" s="7" t="s">
        <v>126</v>
      </c>
      <c r="L150" s="7" t="s">
        <v>126</v>
      </c>
      <c r="M150" s="10" t="s">
        <v>592</v>
      </c>
      <c r="N150" t="s">
        <v>650</v>
      </c>
      <c r="O150" s="10" t="s">
        <v>653</v>
      </c>
    </row>
    <row r="151" spans="1:15" ht="15.6" x14ac:dyDescent="0.3">
      <c r="A151" s="3">
        <v>150</v>
      </c>
      <c r="B151" s="4" t="s">
        <v>18</v>
      </c>
      <c r="C151" s="5" t="s">
        <v>298</v>
      </c>
      <c r="D151" s="5" t="str">
        <f t="shared" si="3"/>
        <v>LI_ElMilagroPaijan</v>
      </c>
      <c r="E151" s="7" t="s">
        <v>10</v>
      </c>
      <c r="F151" s="8">
        <v>45905</v>
      </c>
      <c r="G151" s="9" t="s">
        <v>11</v>
      </c>
      <c r="H151" s="7">
        <v>-7.7356199999999999</v>
      </c>
      <c r="I151" s="7">
        <v>-79.305599999999998</v>
      </c>
      <c r="J151" s="7" t="s">
        <v>58</v>
      </c>
      <c r="K151" s="7" t="s">
        <v>63</v>
      </c>
      <c r="L151" s="7" t="s">
        <v>64</v>
      </c>
      <c r="M151" s="10" t="s">
        <v>593</v>
      </c>
      <c r="N151" t="s">
        <v>650</v>
      </c>
      <c r="O151" s="10" t="s">
        <v>653</v>
      </c>
    </row>
    <row r="152" spans="1:15" ht="15.6" x14ac:dyDescent="0.3">
      <c r="A152" s="3">
        <v>151</v>
      </c>
      <c r="B152" s="4" t="s">
        <v>18</v>
      </c>
      <c r="C152" s="5" t="s">
        <v>299</v>
      </c>
      <c r="D152" s="5" t="str">
        <f t="shared" si="3"/>
        <v>LI_MolinoSalina</v>
      </c>
      <c r="E152" s="7" t="s">
        <v>10</v>
      </c>
      <c r="F152" s="8">
        <v>45908</v>
      </c>
      <c r="G152" s="9" t="s">
        <v>11</v>
      </c>
      <c r="H152" s="7">
        <v>-8.0499600000000004</v>
      </c>
      <c r="I152" s="7">
        <v>-79.061800000000005</v>
      </c>
      <c r="J152" s="7" t="s">
        <v>58</v>
      </c>
      <c r="K152" s="7" t="s">
        <v>138</v>
      </c>
      <c r="L152" s="7" t="s">
        <v>300</v>
      </c>
      <c r="M152" s="10" t="s">
        <v>593</v>
      </c>
      <c r="N152" t="s">
        <v>650</v>
      </c>
      <c r="O152" s="10" t="s">
        <v>653</v>
      </c>
    </row>
    <row r="153" spans="1:15" ht="15.6" x14ac:dyDescent="0.3">
      <c r="A153" s="3">
        <v>152</v>
      </c>
      <c r="B153" s="4" t="s">
        <v>18</v>
      </c>
      <c r="C153" s="5" t="s">
        <v>301</v>
      </c>
      <c r="D153" s="5" t="str">
        <f t="shared" si="3"/>
        <v>LM_ArbolesDeChilca</v>
      </c>
      <c r="E153" s="7" t="s">
        <v>10</v>
      </c>
      <c r="F153" s="8">
        <v>45908</v>
      </c>
      <c r="G153" s="9" t="s">
        <v>11</v>
      </c>
      <c r="H153" s="7">
        <v>-12.472300000000001</v>
      </c>
      <c r="I153" s="7">
        <v>-76.736699999999999</v>
      </c>
      <c r="J153" s="7" t="s">
        <v>12</v>
      </c>
      <c r="K153" s="7" t="s">
        <v>16</v>
      </c>
      <c r="L153" s="7" t="s">
        <v>302</v>
      </c>
      <c r="M153" s="10" t="s">
        <v>594</v>
      </c>
      <c r="N153" t="s">
        <v>650</v>
      </c>
      <c r="O153" s="10" t="s">
        <v>653</v>
      </c>
    </row>
    <row r="154" spans="1:15" ht="15.6" x14ac:dyDescent="0.3">
      <c r="A154" s="3">
        <v>153</v>
      </c>
      <c r="B154" s="4" t="s">
        <v>18</v>
      </c>
      <c r="C154" s="5" t="s">
        <v>303</v>
      </c>
      <c r="D154" s="5" t="str">
        <f t="shared" si="3"/>
        <v>IC_LaSurena</v>
      </c>
      <c r="E154" s="7" t="s">
        <v>10</v>
      </c>
      <c r="F154" s="8">
        <v>45908</v>
      </c>
      <c r="G154" s="9" t="s">
        <v>11</v>
      </c>
      <c r="H154" s="7">
        <v>-14.152799999999999</v>
      </c>
      <c r="I154" s="7">
        <v>-75.714500000000001</v>
      </c>
      <c r="J154" s="7" t="s">
        <v>83</v>
      </c>
      <c r="K154" s="7" t="s">
        <v>83</v>
      </c>
      <c r="L154" s="7" t="s">
        <v>304</v>
      </c>
      <c r="M154" s="10" t="s">
        <v>593</v>
      </c>
      <c r="N154" t="s">
        <v>650</v>
      </c>
      <c r="O154" s="10" t="s">
        <v>653</v>
      </c>
    </row>
    <row r="155" spans="1:15" ht="15.6" x14ac:dyDescent="0.3">
      <c r="A155" s="3">
        <v>154</v>
      </c>
      <c r="B155" s="4" t="s">
        <v>18</v>
      </c>
      <c r="C155" s="5" t="s">
        <v>305</v>
      </c>
      <c r="D155" s="5" t="str">
        <f t="shared" si="3"/>
        <v>LA_MunicipalidadDeTuman</v>
      </c>
      <c r="E155" s="7" t="s">
        <v>10</v>
      </c>
      <c r="F155" s="8">
        <v>45908</v>
      </c>
      <c r="G155" s="9" t="s">
        <v>11</v>
      </c>
      <c r="H155" s="7">
        <v>-6.7525599999999999</v>
      </c>
      <c r="I155" s="7">
        <v>-79.700999999999993</v>
      </c>
      <c r="J155" s="7" t="s">
        <v>71</v>
      </c>
      <c r="K155" s="7" t="s">
        <v>72</v>
      </c>
      <c r="L155" s="7" t="s">
        <v>306</v>
      </c>
      <c r="M155" s="10" t="s">
        <v>593</v>
      </c>
      <c r="N155" t="s">
        <v>650</v>
      </c>
      <c r="O155" s="10" t="s">
        <v>653</v>
      </c>
    </row>
    <row r="156" spans="1:15" ht="15.6" x14ac:dyDescent="0.3">
      <c r="A156" s="3">
        <v>155</v>
      </c>
      <c r="B156" s="4" t="s">
        <v>18</v>
      </c>
      <c r="C156" s="5" t="s">
        <v>307</v>
      </c>
      <c r="D156" s="5" t="str">
        <f t="shared" si="3"/>
        <v>LM_Nicasio</v>
      </c>
      <c r="E156" s="7" t="s">
        <v>10</v>
      </c>
      <c r="F156" s="8">
        <v>45908</v>
      </c>
      <c r="G156" s="9" t="s">
        <v>11</v>
      </c>
      <c r="H156" s="7">
        <v>-11.0198</v>
      </c>
      <c r="I156" s="7">
        <v>-77.6327</v>
      </c>
      <c r="J156" s="7" t="s">
        <v>12</v>
      </c>
      <c r="K156" s="7" t="s">
        <v>308</v>
      </c>
      <c r="L156" s="7" t="s">
        <v>309</v>
      </c>
      <c r="M156" s="10" t="s">
        <v>594</v>
      </c>
      <c r="N156" t="s">
        <v>650</v>
      </c>
      <c r="O156" s="10" t="s">
        <v>653</v>
      </c>
    </row>
    <row r="157" spans="1:15" ht="15.6" x14ac:dyDescent="0.3">
      <c r="A157" s="3">
        <v>156</v>
      </c>
      <c r="B157" s="4" t="s">
        <v>18</v>
      </c>
      <c r="C157" s="5" t="s">
        <v>310</v>
      </c>
      <c r="D157" s="5" t="str">
        <f t="shared" si="3"/>
        <v>AN_NauticoHistorico</v>
      </c>
      <c r="E157" s="7" t="s">
        <v>10</v>
      </c>
      <c r="F157" s="8">
        <v>45908</v>
      </c>
      <c r="G157" s="9" t="s">
        <v>11</v>
      </c>
      <c r="H157" s="7">
        <v>-9.0880600000000005</v>
      </c>
      <c r="I157" s="7">
        <v>-78.564499999999995</v>
      </c>
      <c r="J157" s="7" t="s">
        <v>122</v>
      </c>
      <c r="K157" s="7" t="s">
        <v>160</v>
      </c>
      <c r="L157" s="7" t="s">
        <v>161</v>
      </c>
      <c r="M157" s="10" t="s">
        <v>593</v>
      </c>
      <c r="N157" t="s">
        <v>651</v>
      </c>
      <c r="O157" s="10" t="s">
        <v>653</v>
      </c>
    </row>
    <row r="158" spans="1:15" ht="15.6" x14ac:dyDescent="0.3">
      <c r="A158" s="3">
        <v>157</v>
      </c>
      <c r="B158" s="4" t="s">
        <v>18</v>
      </c>
      <c r="C158" s="5" t="s">
        <v>311</v>
      </c>
      <c r="D158" s="5" t="str">
        <f t="shared" si="3"/>
        <v>PI_ElBosque</v>
      </c>
      <c r="E158" s="7" t="s">
        <v>10</v>
      </c>
      <c r="F158" s="8">
        <v>45909</v>
      </c>
      <c r="G158" s="9" t="s">
        <v>11</v>
      </c>
      <c r="H158" s="7">
        <v>-5.1890999999999998</v>
      </c>
      <c r="I158" s="7">
        <v>-80.609399999999994</v>
      </c>
      <c r="J158" s="7" t="s">
        <v>53</v>
      </c>
      <c r="K158" s="7" t="s">
        <v>53</v>
      </c>
      <c r="L158" s="7" t="s">
        <v>61</v>
      </c>
      <c r="M158" s="10" t="s">
        <v>593</v>
      </c>
      <c r="N158" t="s">
        <v>650</v>
      </c>
      <c r="O158" s="10" t="s">
        <v>653</v>
      </c>
    </row>
    <row r="159" spans="1:15" ht="15.6" x14ac:dyDescent="0.3">
      <c r="A159" s="3">
        <v>158</v>
      </c>
      <c r="B159" s="4" t="s">
        <v>18</v>
      </c>
      <c r="C159" s="5" t="s">
        <v>312</v>
      </c>
      <c r="D159" s="5" t="str">
        <f t="shared" si="3"/>
        <v>LI_LaArenita</v>
      </c>
      <c r="E159" s="7" t="s">
        <v>10</v>
      </c>
      <c r="F159" s="8">
        <v>45909</v>
      </c>
      <c r="G159" s="9" t="s">
        <v>11</v>
      </c>
      <c r="H159" s="7">
        <v>-7.6857300000000004</v>
      </c>
      <c r="I159" s="7">
        <v>-79.320300000000003</v>
      </c>
      <c r="J159" s="7" t="s">
        <v>58</v>
      </c>
      <c r="K159" s="7" t="s">
        <v>63</v>
      </c>
      <c r="L159" s="7" t="s">
        <v>64</v>
      </c>
      <c r="M159" s="10" t="s">
        <v>593</v>
      </c>
      <c r="N159" t="s">
        <v>650</v>
      </c>
      <c r="O159" s="10" t="s">
        <v>653</v>
      </c>
    </row>
    <row r="160" spans="1:15" ht="15.6" x14ac:dyDescent="0.3">
      <c r="A160" s="3">
        <v>159</v>
      </c>
      <c r="B160" s="4" t="s">
        <v>313</v>
      </c>
      <c r="C160" s="5" t="s">
        <v>314</v>
      </c>
      <c r="D160" s="5" t="str">
        <f t="shared" si="3"/>
        <v>CS_MiradorQuillabamba</v>
      </c>
      <c r="E160" s="7" t="s">
        <v>10</v>
      </c>
      <c r="F160" s="8">
        <v>45909</v>
      </c>
      <c r="G160" s="9" t="s">
        <v>11</v>
      </c>
      <c r="H160" s="7">
        <v>-12.8719</v>
      </c>
      <c r="I160" s="7">
        <v>-72.696100000000001</v>
      </c>
      <c r="J160" s="7" t="s">
        <v>26</v>
      </c>
      <c r="K160" s="7" t="s">
        <v>315</v>
      </c>
      <c r="L160" s="7" t="s">
        <v>316</v>
      </c>
      <c r="M160" s="10" t="s">
        <v>592</v>
      </c>
      <c r="N160" t="s">
        <v>652</v>
      </c>
      <c r="O160" s="10" t="s">
        <v>653</v>
      </c>
    </row>
    <row r="161" spans="1:15" ht="15.6" x14ac:dyDescent="0.3">
      <c r="A161" s="3">
        <v>160</v>
      </c>
      <c r="B161" s="4" t="s">
        <v>18</v>
      </c>
      <c r="C161" s="5" t="s">
        <v>317</v>
      </c>
      <c r="D161" s="5" t="str">
        <f t="shared" si="3"/>
        <v>CA_RumboYanacocha</v>
      </c>
      <c r="E161" s="7" t="s">
        <v>10</v>
      </c>
      <c r="F161" s="8">
        <v>45910</v>
      </c>
      <c r="G161" s="9" t="s">
        <v>11</v>
      </c>
      <c r="H161" s="7">
        <v>-7.0860700000000003</v>
      </c>
      <c r="I161" s="7">
        <v>-78.481300000000005</v>
      </c>
      <c r="J161" s="7" t="s">
        <v>81</v>
      </c>
      <c r="K161" s="7" t="s">
        <v>81</v>
      </c>
      <c r="L161" s="7" t="s">
        <v>318</v>
      </c>
      <c r="M161" s="10" t="s">
        <v>592</v>
      </c>
      <c r="N161" t="s">
        <v>650</v>
      </c>
      <c r="O161" s="10" t="s">
        <v>654</v>
      </c>
    </row>
    <row r="162" spans="1:15" ht="15.6" x14ac:dyDescent="0.3">
      <c r="A162" s="3">
        <v>161</v>
      </c>
      <c r="B162" s="4" t="s">
        <v>18</v>
      </c>
      <c r="C162" s="5" t="s">
        <v>319</v>
      </c>
      <c r="D162" s="5" t="str">
        <f t="shared" si="3"/>
        <v>PI_VateManrique</v>
      </c>
      <c r="E162" s="7" t="s">
        <v>10</v>
      </c>
      <c r="F162" s="8">
        <v>45910</v>
      </c>
      <c r="G162" s="9" t="s">
        <v>11</v>
      </c>
      <c r="H162" s="7">
        <v>-5.1021999999999998</v>
      </c>
      <c r="I162" s="7">
        <v>-80.166600000000003</v>
      </c>
      <c r="J162" s="7" t="s">
        <v>53</v>
      </c>
      <c r="K162" s="7" t="s">
        <v>164</v>
      </c>
      <c r="L162" s="7" t="s">
        <v>320</v>
      </c>
      <c r="M162" s="10" t="s">
        <v>593</v>
      </c>
      <c r="N162" t="s">
        <v>650</v>
      </c>
      <c r="O162" s="10" t="s">
        <v>653</v>
      </c>
    </row>
    <row r="163" spans="1:15" ht="15.6" x14ac:dyDescent="0.3">
      <c r="A163" s="3">
        <v>162</v>
      </c>
      <c r="B163" s="4" t="s">
        <v>18</v>
      </c>
      <c r="C163" s="5" t="s">
        <v>321</v>
      </c>
      <c r="D163" s="5" t="str">
        <f t="shared" si="3"/>
        <v>LM_Teran</v>
      </c>
      <c r="E163" s="7" t="s">
        <v>10</v>
      </c>
      <c r="F163" s="8">
        <v>45911</v>
      </c>
      <c r="G163" s="9" t="s">
        <v>11</v>
      </c>
      <c r="H163" s="7">
        <v>-12.1683</v>
      </c>
      <c r="I163" s="7">
        <v>-77.019400000000005</v>
      </c>
      <c r="J163" s="7" t="s">
        <v>12</v>
      </c>
      <c r="K163" s="7" t="s">
        <v>12</v>
      </c>
      <c r="L163" s="7" t="s">
        <v>322</v>
      </c>
      <c r="M163" s="10" t="s">
        <v>594</v>
      </c>
      <c r="N163" t="s">
        <v>650</v>
      </c>
      <c r="O163" s="10" t="s">
        <v>653</v>
      </c>
    </row>
    <row r="164" spans="1:15" ht="15.6" x14ac:dyDescent="0.3">
      <c r="A164" s="3">
        <v>163</v>
      </c>
      <c r="B164" s="4" t="s">
        <v>18</v>
      </c>
      <c r="C164" s="5" t="s">
        <v>323</v>
      </c>
      <c r="D164" s="5" t="str">
        <f t="shared" si="3"/>
        <v>LH_PlazaMolino</v>
      </c>
      <c r="E164" s="7" t="s">
        <v>10</v>
      </c>
      <c r="F164" s="8">
        <v>45911</v>
      </c>
      <c r="G164" s="9" t="s">
        <v>11</v>
      </c>
      <c r="H164" s="7">
        <v>-9.9098299999999995</v>
      </c>
      <c r="I164" s="7">
        <v>-76.015699999999995</v>
      </c>
      <c r="J164" s="7" t="s">
        <v>34</v>
      </c>
      <c r="K164" s="7" t="s">
        <v>324</v>
      </c>
      <c r="L164" s="7" t="s">
        <v>325</v>
      </c>
      <c r="M164" s="10" t="s">
        <v>595</v>
      </c>
      <c r="N164" t="s">
        <v>650</v>
      </c>
      <c r="O164" s="10" t="s">
        <v>653</v>
      </c>
    </row>
    <row r="165" spans="1:15" ht="15.6" x14ac:dyDescent="0.3">
      <c r="A165" s="3">
        <v>164</v>
      </c>
      <c r="B165" s="4" t="s">
        <v>18</v>
      </c>
      <c r="C165" s="5" t="s">
        <v>326</v>
      </c>
      <c r="D165" s="5" t="str">
        <f t="shared" si="3"/>
        <v>LM_PlanicieDelMirador</v>
      </c>
      <c r="E165" s="7" t="s">
        <v>10</v>
      </c>
      <c r="F165" s="8">
        <v>45915</v>
      </c>
      <c r="G165" s="9" t="s">
        <v>11</v>
      </c>
      <c r="H165" s="7">
        <v>-12.4886</v>
      </c>
      <c r="I165" s="7">
        <v>-76.737499999999997</v>
      </c>
      <c r="J165" s="7" t="s">
        <v>12</v>
      </c>
      <c r="K165" s="7" t="s">
        <v>16</v>
      </c>
      <c r="L165" s="7" t="s">
        <v>302</v>
      </c>
      <c r="M165" s="10" t="s">
        <v>594</v>
      </c>
      <c r="N165" t="s">
        <v>651</v>
      </c>
      <c r="O165" s="10" t="s">
        <v>653</v>
      </c>
    </row>
    <row r="166" spans="1:15" ht="15.6" x14ac:dyDescent="0.3">
      <c r="A166" s="3">
        <v>165</v>
      </c>
      <c r="B166" s="4" t="s">
        <v>18</v>
      </c>
      <c r="C166" s="5" t="s">
        <v>327</v>
      </c>
      <c r="D166" s="5" t="str">
        <f t="shared" si="3"/>
        <v>LA_NinoEmiliano</v>
      </c>
      <c r="E166" s="7" t="s">
        <v>10</v>
      </c>
      <c r="F166" s="8">
        <v>45915</v>
      </c>
      <c r="G166" s="9" t="s">
        <v>11</v>
      </c>
      <c r="H166" s="7">
        <v>-6.7054999999999998</v>
      </c>
      <c r="I166" s="7">
        <v>-79.917000000000002</v>
      </c>
      <c r="J166" s="7" t="s">
        <v>71</v>
      </c>
      <c r="K166" s="7" t="s">
        <v>71</v>
      </c>
      <c r="L166" s="7" t="s">
        <v>71</v>
      </c>
      <c r="M166" s="10" t="s">
        <v>593</v>
      </c>
      <c r="N166" t="s">
        <v>651</v>
      </c>
      <c r="O166" s="10" t="s">
        <v>653</v>
      </c>
    </row>
    <row r="167" spans="1:15" ht="15.6" x14ac:dyDescent="0.3">
      <c r="A167" s="3">
        <v>166</v>
      </c>
      <c r="B167" s="4" t="s">
        <v>18</v>
      </c>
      <c r="C167" s="5" t="s">
        <v>328</v>
      </c>
      <c r="D167" s="5" t="str">
        <f t="shared" si="3"/>
        <v>CS_DirigentesCusco</v>
      </c>
      <c r="E167" s="7" t="s">
        <v>10</v>
      </c>
      <c r="F167" s="8">
        <v>45915</v>
      </c>
      <c r="G167" s="9" t="s">
        <v>11</v>
      </c>
      <c r="H167" s="7">
        <v>-13.5169</v>
      </c>
      <c r="I167" s="7">
        <v>-71.951800000000006</v>
      </c>
      <c r="J167" s="7" t="s">
        <v>26</v>
      </c>
      <c r="K167" s="7" t="s">
        <v>26</v>
      </c>
      <c r="L167" s="7" t="s">
        <v>26</v>
      </c>
      <c r="M167" s="10" t="s">
        <v>592</v>
      </c>
      <c r="N167" t="s">
        <v>650</v>
      </c>
      <c r="O167" s="10" t="s">
        <v>653</v>
      </c>
    </row>
    <row r="168" spans="1:15" ht="15.6" x14ac:dyDescent="0.3">
      <c r="A168" s="3">
        <v>167</v>
      </c>
      <c r="B168" s="4" t="s">
        <v>18</v>
      </c>
      <c r="C168" s="5" t="s">
        <v>329</v>
      </c>
      <c r="D168" s="5" t="str">
        <f t="shared" si="3"/>
        <v>PN_AvenidaCandelaria</v>
      </c>
      <c r="E168" s="7" t="s">
        <v>10</v>
      </c>
      <c r="F168" s="8">
        <v>45915</v>
      </c>
      <c r="G168" s="9" t="s">
        <v>11</v>
      </c>
      <c r="H168" s="7">
        <v>-15.4838</v>
      </c>
      <c r="I168" s="7">
        <v>-70.160300000000007</v>
      </c>
      <c r="J168" s="7" t="s">
        <v>126</v>
      </c>
      <c r="K168" s="7" t="s">
        <v>128</v>
      </c>
      <c r="L168" s="7" t="s">
        <v>129</v>
      </c>
      <c r="M168" s="10" t="s">
        <v>592</v>
      </c>
      <c r="N168" t="s">
        <v>651</v>
      </c>
      <c r="O168" s="10" t="s">
        <v>653</v>
      </c>
    </row>
    <row r="169" spans="1:15" ht="15.6" x14ac:dyDescent="0.3">
      <c r="A169" s="3">
        <v>168</v>
      </c>
      <c r="B169" s="4" t="s">
        <v>18</v>
      </c>
      <c r="C169" s="5" t="s">
        <v>330</v>
      </c>
      <c r="D169" s="5" t="str">
        <f t="shared" si="3"/>
        <v>IC_OvaloNazca</v>
      </c>
      <c r="E169" s="7" t="s">
        <v>10</v>
      </c>
      <c r="F169" s="8">
        <v>45915</v>
      </c>
      <c r="G169" s="9" t="s">
        <v>11</v>
      </c>
      <c r="H169" s="7">
        <v>-14.828200000000001</v>
      </c>
      <c r="I169" s="7">
        <v>-74.947699999999998</v>
      </c>
      <c r="J169" s="7" t="s">
        <v>83</v>
      </c>
      <c r="K169" s="7" t="s">
        <v>331</v>
      </c>
      <c r="L169" s="7" t="s">
        <v>331</v>
      </c>
      <c r="M169" s="10" t="s">
        <v>593</v>
      </c>
      <c r="N169" t="s">
        <v>650</v>
      </c>
      <c r="O169" s="10" t="s">
        <v>653</v>
      </c>
    </row>
    <row r="170" spans="1:15" ht="15.6" x14ac:dyDescent="0.3">
      <c r="A170" s="3">
        <v>169</v>
      </c>
      <c r="B170" s="4" t="s">
        <v>18</v>
      </c>
      <c r="C170" s="5" t="s">
        <v>332</v>
      </c>
      <c r="D170" s="5" t="str">
        <f t="shared" si="3"/>
        <v>LA_TumanNorte</v>
      </c>
      <c r="E170" s="7" t="s">
        <v>10</v>
      </c>
      <c r="F170" s="8">
        <v>45915</v>
      </c>
      <c r="G170" s="9" t="s">
        <v>11</v>
      </c>
      <c r="H170" s="7">
        <v>-6.7373900000000004</v>
      </c>
      <c r="I170" s="7">
        <v>-79.703599999999994</v>
      </c>
      <c r="J170" s="7" t="s">
        <v>71</v>
      </c>
      <c r="K170" s="7" t="s">
        <v>72</v>
      </c>
      <c r="L170" s="7" t="s">
        <v>306</v>
      </c>
      <c r="M170" s="10" t="s">
        <v>593</v>
      </c>
      <c r="N170" t="s">
        <v>650</v>
      </c>
      <c r="O170" s="10" t="s">
        <v>653</v>
      </c>
    </row>
    <row r="171" spans="1:15" ht="15.6" x14ac:dyDescent="0.3">
      <c r="A171" s="3">
        <v>170</v>
      </c>
      <c r="B171" s="4" t="s">
        <v>18</v>
      </c>
      <c r="C171" s="5" t="s">
        <v>333</v>
      </c>
      <c r="D171" s="5" t="str">
        <f t="shared" si="3"/>
        <v>SM_SanRafael</v>
      </c>
      <c r="E171" s="7" t="s">
        <v>10</v>
      </c>
      <c r="F171" s="8">
        <v>45915</v>
      </c>
      <c r="G171" s="9" t="s">
        <v>11</v>
      </c>
      <c r="H171" s="7">
        <v>-7.0312000000000001</v>
      </c>
      <c r="I171" s="7">
        <v>-76.469200000000001</v>
      </c>
      <c r="J171" s="7" t="s">
        <v>195</v>
      </c>
      <c r="K171" s="7" t="s">
        <v>334</v>
      </c>
      <c r="L171" s="7" t="s">
        <v>335</v>
      </c>
      <c r="M171" s="10" t="s">
        <v>595</v>
      </c>
      <c r="N171" t="s">
        <v>650</v>
      </c>
      <c r="O171" s="10" t="s">
        <v>654</v>
      </c>
    </row>
    <row r="172" spans="1:15" ht="15.6" x14ac:dyDescent="0.3">
      <c r="A172" s="3">
        <v>171</v>
      </c>
      <c r="B172" s="4" t="s">
        <v>260</v>
      </c>
      <c r="C172" s="5" t="s">
        <v>336</v>
      </c>
      <c r="D172" s="5" t="str">
        <f t="shared" si="3"/>
        <v>JU_PlazaPrincipalDeApata</v>
      </c>
      <c r="E172" s="7" t="s">
        <v>337</v>
      </c>
      <c r="F172" s="8">
        <v>45917</v>
      </c>
      <c r="G172" s="9" t="s">
        <v>11</v>
      </c>
      <c r="H172" s="7">
        <v>-11.8552</v>
      </c>
      <c r="I172" s="7">
        <v>-75.356700000000004</v>
      </c>
      <c r="J172" s="7" t="s">
        <v>23</v>
      </c>
      <c r="K172" s="7" t="s">
        <v>103</v>
      </c>
      <c r="L172" s="7" t="s">
        <v>338</v>
      </c>
      <c r="M172" s="10" t="s">
        <v>593</v>
      </c>
      <c r="N172" t="s">
        <v>650</v>
      </c>
      <c r="O172" s="10" t="s">
        <v>654</v>
      </c>
    </row>
    <row r="173" spans="1:15" ht="15.6" x14ac:dyDescent="0.3">
      <c r="A173" s="3">
        <v>172</v>
      </c>
      <c r="B173" s="4" t="s">
        <v>18</v>
      </c>
      <c r="C173" s="5" t="s">
        <v>339</v>
      </c>
      <c r="D173" s="5" t="str">
        <f t="shared" si="3"/>
        <v>LH_EstadioUnas</v>
      </c>
      <c r="E173" s="7" t="s">
        <v>10</v>
      </c>
      <c r="F173" s="8">
        <v>45921</v>
      </c>
      <c r="G173" s="9" t="s">
        <v>11</v>
      </c>
      <c r="H173" s="7">
        <v>-9.3157099999999993</v>
      </c>
      <c r="I173" s="7">
        <v>-76.001000000000005</v>
      </c>
      <c r="J173" s="7" t="s">
        <v>34</v>
      </c>
      <c r="K173" s="7" t="s">
        <v>340</v>
      </c>
      <c r="L173" s="7" t="s">
        <v>341</v>
      </c>
      <c r="M173" s="10" t="s">
        <v>595</v>
      </c>
      <c r="N173" t="s">
        <v>650</v>
      </c>
      <c r="O173" s="10" t="s">
        <v>653</v>
      </c>
    </row>
    <row r="174" spans="1:15" ht="15.6" x14ac:dyDescent="0.3">
      <c r="A174" s="3">
        <v>173</v>
      </c>
      <c r="B174" s="4" t="s">
        <v>18</v>
      </c>
      <c r="C174" s="5" t="s">
        <v>342</v>
      </c>
      <c r="D174" s="5" t="str">
        <f t="shared" si="3"/>
        <v>AN_CaminoViejo</v>
      </c>
      <c r="E174" s="7" t="s">
        <v>10</v>
      </c>
      <c r="F174" s="8">
        <v>45922</v>
      </c>
      <c r="G174" s="9" t="s">
        <v>11</v>
      </c>
      <c r="H174" s="7">
        <v>-9.4730799999999995</v>
      </c>
      <c r="I174" s="7">
        <v>-78.285499999999999</v>
      </c>
      <c r="J174" s="7" t="s">
        <v>122</v>
      </c>
      <c r="K174" s="7" t="s">
        <v>343</v>
      </c>
      <c r="L174" s="7" t="s">
        <v>343</v>
      </c>
      <c r="M174" s="10" t="s">
        <v>593</v>
      </c>
      <c r="N174" t="s">
        <v>651</v>
      </c>
      <c r="O174" s="10" t="s">
        <v>653</v>
      </c>
    </row>
    <row r="175" spans="1:15" ht="15.6" x14ac:dyDescent="0.3">
      <c r="A175" s="3">
        <v>174</v>
      </c>
      <c r="B175" s="4" t="s">
        <v>18</v>
      </c>
      <c r="C175" s="5" t="s">
        <v>344</v>
      </c>
      <c r="D175" s="5" t="str">
        <f t="shared" si="3"/>
        <v>AQ_FRACSA</v>
      </c>
      <c r="E175" s="7" t="s">
        <v>10</v>
      </c>
      <c r="F175" s="8">
        <v>45923</v>
      </c>
      <c r="G175" s="9" t="s">
        <v>11</v>
      </c>
      <c r="H175" s="7">
        <v>-16.406099999999999</v>
      </c>
      <c r="I175" s="7">
        <v>-71.579899999999995</v>
      </c>
      <c r="J175" s="7" t="s">
        <v>20</v>
      </c>
      <c r="K175" s="7" t="s">
        <v>20</v>
      </c>
      <c r="L175" s="7" t="s">
        <v>296</v>
      </c>
      <c r="M175" s="10" t="s">
        <v>592</v>
      </c>
      <c r="N175" t="s">
        <v>650</v>
      </c>
      <c r="O175" s="10" t="s">
        <v>653</v>
      </c>
    </row>
    <row r="176" spans="1:15" ht="15.6" x14ac:dyDescent="0.3">
      <c r="A176" s="3">
        <v>175</v>
      </c>
      <c r="B176" s="4" t="s">
        <v>18</v>
      </c>
      <c r="C176" s="5" t="s">
        <v>345</v>
      </c>
      <c r="D176" s="5" t="str">
        <f t="shared" si="3"/>
        <v>CP_RegionesDeYanacancha</v>
      </c>
      <c r="E176" s="7" t="s">
        <v>10</v>
      </c>
      <c r="F176" s="8">
        <v>45923</v>
      </c>
      <c r="G176" s="9" t="s">
        <v>11</v>
      </c>
      <c r="H176" s="7">
        <v>-10.6685</v>
      </c>
      <c r="I176" s="7">
        <v>-76.249799999999993</v>
      </c>
      <c r="J176" s="7" t="s">
        <v>346</v>
      </c>
      <c r="K176" s="7" t="s">
        <v>346</v>
      </c>
      <c r="L176" s="7" t="s">
        <v>347</v>
      </c>
      <c r="M176" s="10" t="s">
        <v>595</v>
      </c>
      <c r="N176" t="s">
        <v>650</v>
      </c>
      <c r="O176" s="10" t="s">
        <v>653</v>
      </c>
    </row>
    <row r="177" spans="1:15" ht="15.6" x14ac:dyDescent="0.3">
      <c r="A177" s="3">
        <v>176</v>
      </c>
      <c r="B177" s="4" t="s">
        <v>18</v>
      </c>
      <c r="C177" s="5" t="s">
        <v>348</v>
      </c>
      <c r="D177" s="5" t="str">
        <f t="shared" si="3"/>
        <v>PI_ParqueEcologicoKurtBeer</v>
      </c>
      <c r="E177" s="7" t="s">
        <v>10</v>
      </c>
      <c r="F177" s="8">
        <v>45923</v>
      </c>
      <c r="G177" s="9" t="s">
        <v>11</v>
      </c>
      <c r="H177" s="7">
        <v>-5.2080200000000003</v>
      </c>
      <c r="I177" s="7">
        <v>-80.656700000000001</v>
      </c>
      <c r="J177" s="7" t="s">
        <v>53</v>
      </c>
      <c r="K177" s="7" t="s">
        <v>53</v>
      </c>
      <c r="L177" s="7" t="s">
        <v>89</v>
      </c>
      <c r="M177" s="10" t="s">
        <v>593</v>
      </c>
      <c r="N177" t="s">
        <v>650</v>
      </c>
      <c r="O177" s="10" t="s">
        <v>653</v>
      </c>
    </row>
    <row r="178" spans="1:15" ht="15.6" x14ac:dyDescent="0.3">
      <c r="A178" s="3">
        <v>177</v>
      </c>
      <c r="B178" s="4" t="s">
        <v>260</v>
      </c>
      <c r="C178" s="5" t="s">
        <v>349</v>
      </c>
      <c r="D178" s="5" t="str">
        <f t="shared" si="3"/>
        <v>LM_CondominiosDeComas</v>
      </c>
      <c r="E178" s="7" t="s">
        <v>337</v>
      </c>
      <c r="F178" s="8">
        <v>45923</v>
      </c>
      <c r="G178" s="9" t="s">
        <v>11</v>
      </c>
      <c r="H178" s="7">
        <v>-11.927300000000001</v>
      </c>
      <c r="I178" s="7">
        <v>-77.058700000000002</v>
      </c>
      <c r="J178" s="7" t="s">
        <v>12</v>
      </c>
      <c r="K178" s="7" t="s">
        <v>12</v>
      </c>
      <c r="L178" s="7" t="s">
        <v>350</v>
      </c>
      <c r="M178" s="10" t="s">
        <v>594</v>
      </c>
      <c r="N178" t="s">
        <v>651</v>
      </c>
      <c r="O178" s="10" t="s">
        <v>653</v>
      </c>
    </row>
    <row r="179" spans="1:15" ht="15.6" x14ac:dyDescent="0.3">
      <c r="A179" s="3">
        <v>178</v>
      </c>
      <c r="B179" s="4" t="s">
        <v>18</v>
      </c>
      <c r="C179" s="5" t="s">
        <v>351</v>
      </c>
      <c r="D179" s="5" t="str">
        <f t="shared" si="3"/>
        <v>PI_IglesiaDeSanJacinto</v>
      </c>
      <c r="E179" s="7" t="s">
        <v>10</v>
      </c>
      <c r="F179" s="8">
        <v>45924</v>
      </c>
      <c r="G179" s="9" t="s">
        <v>11</v>
      </c>
      <c r="H179" s="7">
        <v>-5.2443900000000001</v>
      </c>
      <c r="I179" s="7">
        <v>-80.675299999999993</v>
      </c>
      <c r="J179" s="7" t="s">
        <v>53</v>
      </c>
      <c r="K179" s="7" t="s">
        <v>53</v>
      </c>
      <c r="L179" s="7" t="s">
        <v>56</v>
      </c>
      <c r="M179" s="10" t="s">
        <v>593</v>
      </c>
      <c r="N179" t="s">
        <v>650</v>
      </c>
      <c r="O179" s="10" t="s">
        <v>653</v>
      </c>
    </row>
    <row r="180" spans="1:15" ht="15.6" x14ac:dyDescent="0.3">
      <c r="A180" s="3">
        <v>179</v>
      </c>
      <c r="B180" s="4" t="s">
        <v>18</v>
      </c>
      <c r="C180" s="5" t="s">
        <v>352</v>
      </c>
      <c r="D180" s="5" t="str">
        <f t="shared" si="3"/>
        <v>AQ_LunaZevallos</v>
      </c>
      <c r="E180" s="7" t="s">
        <v>10</v>
      </c>
      <c r="F180" s="8">
        <v>45924</v>
      </c>
      <c r="G180" s="9" t="s">
        <v>11</v>
      </c>
      <c r="H180" s="7">
        <v>-16.4452</v>
      </c>
      <c r="I180" s="7">
        <v>-71.520200000000003</v>
      </c>
      <c r="J180" s="7" t="s">
        <v>20</v>
      </c>
      <c r="K180" s="7" t="s">
        <v>20</v>
      </c>
      <c r="L180" s="7" t="s">
        <v>158</v>
      </c>
      <c r="M180" s="10" t="s">
        <v>592</v>
      </c>
      <c r="N180" t="s">
        <v>651</v>
      </c>
      <c r="O180" s="10" t="s">
        <v>653</v>
      </c>
    </row>
    <row r="181" spans="1:15" ht="15.6" x14ac:dyDescent="0.3">
      <c r="A181" s="3">
        <v>180</v>
      </c>
      <c r="B181" s="4" t="s">
        <v>18</v>
      </c>
      <c r="C181" s="5" t="s">
        <v>353</v>
      </c>
      <c r="D181" s="5" t="str">
        <f t="shared" si="3"/>
        <v>LO_MercadoCardoso</v>
      </c>
      <c r="E181" s="7" t="s">
        <v>10</v>
      </c>
      <c r="F181" s="8">
        <v>45929</v>
      </c>
      <c r="G181" s="9" t="s">
        <v>354</v>
      </c>
      <c r="H181" s="7">
        <v>-3.7971499999999998</v>
      </c>
      <c r="I181" s="7">
        <v>-73.311800000000005</v>
      </c>
      <c r="J181" s="7" t="s">
        <v>134</v>
      </c>
      <c r="K181" s="7" t="s">
        <v>135</v>
      </c>
      <c r="L181" s="7" t="s">
        <v>39</v>
      </c>
      <c r="M181" s="10" t="s">
        <v>596</v>
      </c>
      <c r="N181" t="s">
        <v>651</v>
      </c>
      <c r="O181" s="10" t="s">
        <v>653</v>
      </c>
    </row>
    <row r="182" spans="1:15" ht="15.6" x14ac:dyDescent="0.3">
      <c r="A182" s="3">
        <v>181</v>
      </c>
      <c r="B182" s="4" t="s">
        <v>18</v>
      </c>
      <c r="C182" s="5" t="s">
        <v>355</v>
      </c>
      <c r="D182" s="5" t="str">
        <f t="shared" si="3"/>
        <v>PN_LagunaQoriwata</v>
      </c>
      <c r="E182" s="7" t="s">
        <v>10</v>
      </c>
      <c r="F182" s="8">
        <v>45929</v>
      </c>
      <c r="G182" s="9" t="s">
        <v>354</v>
      </c>
      <c r="H182" s="7">
        <v>-15.454499999999999</v>
      </c>
      <c r="I182" s="7">
        <v>-70.142200000000003</v>
      </c>
      <c r="J182" s="7" t="s">
        <v>126</v>
      </c>
      <c r="K182" s="7" t="s">
        <v>128</v>
      </c>
      <c r="L182" s="7" t="s">
        <v>129</v>
      </c>
      <c r="M182" s="10" t="s">
        <v>592</v>
      </c>
      <c r="N182" t="s">
        <v>651</v>
      </c>
      <c r="O182" s="10" t="s">
        <v>653</v>
      </c>
    </row>
    <row r="183" spans="1:15" ht="15.6" x14ac:dyDescent="0.3">
      <c r="A183" s="3">
        <v>182</v>
      </c>
      <c r="B183" s="4" t="s">
        <v>18</v>
      </c>
      <c r="C183" s="5" t="s">
        <v>356</v>
      </c>
      <c r="D183" s="5" t="str">
        <f t="shared" si="3"/>
        <v>JU_TierraHermosa</v>
      </c>
      <c r="E183" s="7" t="s">
        <v>10</v>
      </c>
      <c r="F183" s="8">
        <v>45929</v>
      </c>
      <c r="G183" s="9" t="s">
        <v>354</v>
      </c>
      <c r="H183" s="7">
        <v>-12.096500000000001</v>
      </c>
      <c r="I183" s="7">
        <v>-75.22</v>
      </c>
      <c r="J183" s="7" t="s">
        <v>23</v>
      </c>
      <c r="K183" s="7" t="s">
        <v>24</v>
      </c>
      <c r="L183" s="7" t="s">
        <v>302</v>
      </c>
      <c r="M183" s="10" t="s">
        <v>593</v>
      </c>
      <c r="N183" t="s">
        <v>651</v>
      </c>
      <c r="O183" s="10" t="s">
        <v>653</v>
      </c>
    </row>
    <row r="184" spans="1:15" ht="15.6" x14ac:dyDescent="0.3">
      <c r="A184" s="3">
        <v>183</v>
      </c>
      <c r="B184" s="4" t="s">
        <v>18</v>
      </c>
      <c r="C184" s="5" t="s">
        <v>357</v>
      </c>
      <c r="D184" s="5" t="str">
        <f t="shared" si="3"/>
        <v>AN_AvPardoChimbote</v>
      </c>
      <c r="E184" s="7" t="s">
        <v>10</v>
      </c>
      <c r="F184" s="8">
        <v>45929</v>
      </c>
      <c r="G184" s="9" t="s">
        <v>354</v>
      </c>
      <c r="H184" s="7">
        <v>-9.1010000000000009</v>
      </c>
      <c r="I184" s="7">
        <v>-78.554599999999994</v>
      </c>
      <c r="J184" s="7" t="s">
        <v>122</v>
      </c>
      <c r="K184" s="7" t="s">
        <v>160</v>
      </c>
      <c r="L184" s="7" t="s">
        <v>161</v>
      </c>
      <c r="M184" s="10" t="s">
        <v>593</v>
      </c>
      <c r="N184" t="s">
        <v>650</v>
      </c>
      <c r="O184" s="10" t="s">
        <v>653</v>
      </c>
    </row>
    <row r="185" spans="1:15" ht="15.6" x14ac:dyDescent="0.3">
      <c r="A185" s="3">
        <v>184</v>
      </c>
      <c r="B185" s="4" t="s">
        <v>18</v>
      </c>
      <c r="C185" s="5" t="s">
        <v>358</v>
      </c>
      <c r="D185" s="5" t="str">
        <f t="shared" si="3"/>
        <v>LA_FabricaMolitalia</v>
      </c>
      <c r="E185" s="7" t="s">
        <v>10</v>
      </c>
      <c r="F185" s="8">
        <v>45933</v>
      </c>
      <c r="G185" s="9" t="s">
        <v>354</v>
      </c>
      <c r="H185" s="7">
        <v>-6.7998399999999997</v>
      </c>
      <c r="I185" s="7">
        <v>-79.863399999999999</v>
      </c>
      <c r="J185" s="7" t="s">
        <v>71</v>
      </c>
      <c r="K185" s="7" t="s">
        <v>72</v>
      </c>
      <c r="L185" s="7" t="s">
        <v>72</v>
      </c>
      <c r="M185" s="10" t="s">
        <v>593</v>
      </c>
      <c r="N185" t="s">
        <v>650</v>
      </c>
      <c r="O185" s="10" t="s">
        <v>653</v>
      </c>
    </row>
    <row r="186" spans="1:15" ht="15.6" x14ac:dyDescent="0.3">
      <c r="A186" s="3">
        <v>185</v>
      </c>
      <c r="B186" s="4" t="s">
        <v>18</v>
      </c>
      <c r="C186" s="5" t="s">
        <v>359</v>
      </c>
      <c r="D186" s="5" t="str">
        <f t="shared" si="3"/>
        <v>LI_ZafraCartavio</v>
      </c>
      <c r="E186" s="7" t="s">
        <v>10</v>
      </c>
      <c r="F186" s="8">
        <v>45933</v>
      </c>
      <c r="G186" s="9" t="s">
        <v>354</v>
      </c>
      <c r="H186" s="7">
        <v>-7.8910099999999996</v>
      </c>
      <c r="I186" s="7">
        <v>-79.219200000000001</v>
      </c>
      <c r="J186" s="7" t="s">
        <v>58</v>
      </c>
      <c r="K186" s="7" t="s">
        <v>63</v>
      </c>
      <c r="L186" s="7" t="s">
        <v>360</v>
      </c>
      <c r="M186" s="10" t="s">
        <v>593</v>
      </c>
      <c r="N186" t="s">
        <v>650</v>
      </c>
      <c r="O186" s="10" t="s">
        <v>653</v>
      </c>
    </row>
    <row r="187" spans="1:15" ht="15.6" x14ac:dyDescent="0.3">
      <c r="A187" s="3">
        <v>186</v>
      </c>
      <c r="B187" s="4" t="s">
        <v>18</v>
      </c>
      <c r="C187" s="5" t="s">
        <v>361</v>
      </c>
      <c r="D187" s="5" t="str">
        <f t="shared" si="3"/>
        <v>LI_LosAnabeles</v>
      </c>
      <c r="E187" s="7" t="s">
        <v>10</v>
      </c>
      <c r="F187" s="8">
        <v>45933</v>
      </c>
      <c r="G187" s="9" t="s">
        <v>354</v>
      </c>
      <c r="H187" s="7">
        <v>-8.0538500000000006</v>
      </c>
      <c r="I187" s="7">
        <v>-79.046999999999997</v>
      </c>
      <c r="J187" s="7" t="s">
        <v>58</v>
      </c>
      <c r="K187" s="7" t="s">
        <v>138</v>
      </c>
      <c r="L187" s="7" t="s">
        <v>300</v>
      </c>
      <c r="M187" s="10" t="s">
        <v>593</v>
      </c>
      <c r="N187" t="s">
        <v>651</v>
      </c>
      <c r="O187" s="10" t="s">
        <v>653</v>
      </c>
    </row>
    <row r="188" spans="1:15" ht="15.6" x14ac:dyDescent="0.3">
      <c r="A188" s="3">
        <v>187</v>
      </c>
      <c r="B188" s="4" t="s">
        <v>18</v>
      </c>
      <c r="C188" s="5" t="s">
        <v>362</v>
      </c>
      <c r="D188" s="5" t="str">
        <f t="shared" si="3"/>
        <v>LI_ElCarmelo</v>
      </c>
      <c r="E188" s="7" t="s">
        <v>10</v>
      </c>
      <c r="F188" s="8">
        <v>45933</v>
      </c>
      <c r="G188" s="9" t="s">
        <v>354</v>
      </c>
      <c r="H188" s="7">
        <v>-8.4674200000000006</v>
      </c>
      <c r="I188" s="7">
        <v>-78.859899999999996</v>
      </c>
      <c r="J188" s="7" t="s">
        <v>58</v>
      </c>
      <c r="K188" s="7" t="s">
        <v>148</v>
      </c>
      <c r="L188" s="7" t="s">
        <v>148</v>
      </c>
      <c r="M188" s="10" t="s">
        <v>593</v>
      </c>
      <c r="N188" t="s">
        <v>650</v>
      </c>
      <c r="O188" s="10" t="s">
        <v>653</v>
      </c>
    </row>
    <row r="189" spans="1:15" ht="15.6" x14ac:dyDescent="0.3">
      <c r="A189" s="3">
        <v>188</v>
      </c>
      <c r="B189" s="4" t="s">
        <v>18</v>
      </c>
      <c r="C189" s="5" t="s">
        <v>363</v>
      </c>
      <c r="D189" s="5" t="str">
        <f t="shared" si="3"/>
        <v>LI_CanalDeSuez</v>
      </c>
      <c r="E189" s="7" t="s">
        <v>10</v>
      </c>
      <c r="F189" s="8">
        <v>45933</v>
      </c>
      <c r="G189" s="9" t="s">
        <v>354</v>
      </c>
      <c r="H189" s="7">
        <v>-8.0725300000000004</v>
      </c>
      <c r="I189" s="7">
        <v>-79.061000000000007</v>
      </c>
      <c r="J189" s="7" t="s">
        <v>58</v>
      </c>
      <c r="K189" s="7" t="s">
        <v>138</v>
      </c>
      <c r="L189" s="7" t="s">
        <v>300</v>
      </c>
      <c r="M189" s="10" t="s">
        <v>593</v>
      </c>
      <c r="N189" t="s">
        <v>650</v>
      </c>
      <c r="O189" s="10" t="s">
        <v>653</v>
      </c>
    </row>
    <row r="190" spans="1:15" ht="15.6" x14ac:dyDescent="0.3">
      <c r="A190" s="3">
        <v>189</v>
      </c>
      <c r="B190" s="4" t="s">
        <v>18</v>
      </c>
      <c r="C190" s="5" t="s">
        <v>364</v>
      </c>
      <c r="D190" s="5" t="str">
        <f t="shared" si="3"/>
        <v>LI_SixtoBalarezo</v>
      </c>
      <c r="E190" s="7" t="s">
        <v>10</v>
      </c>
      <c r="F190" s="8">
        <v>45933</v>
      </c>
      <c r="G190" s="9" t="s">
        <v>354</v>
      </c>
      <c r="H190" s="7">
        <v>-7.2416999999999998</v>
      </c>
      <c r="I190" s="7">
        <v>-79.463999999999999</v>
      </c>
      <c r="J190" s="7" t="s">
        <v>58</v>
      </c>
      <c r="K190" s="7" t="s">
        <v>365</v>
      </c>
      <c r="L190" s="7" t="s">
        <v>366</v>
      </c>
      <c r="M190" s="10" t="s">
        <v>593</v>
      </c>
      <c r="N190" t="s">
        <v>650</v>
      </c>
      <c r="O190" s="10" t="s">
        <v>653</v>
      </c>
    </row>
    <row r="191" spans="1:15" ht="15.6" x14ac:dyDescent="0.3">
      <c r="A191" s="3">
        <v>190</v>
      </c>
      <c r="B191" s="4" t="s">
        <v>18</v>
      </c>
      <c r="C191" s="5" t="s">
        <v>367</v>
      </c>
      <c r="D191" s="5" t="str">
        <f t="shared" si="3"/>
        <v>LM_Telmo</v>
      </c>
      <c r="E191" s="7" t="s">
        <v>10</v>
      </c>
      <c r="F191" s="8">
        <v>45933</v>
      </c>
      <c r="G191" s="9" t="s">
        <v>354</v>
      </c>
      <c r="H191" s="7">
        <v>-12.063800000000001</v>
      </c>
      <c r="I191" s="7">
        <v>-77.131699999999995</v>
      </c>
      <c r="J191" s="7" t="s">
        <v>12</v>
      </c>
      <c r="K191" s="7" t="s">
        <v>368</v>
      </c>
      <c r="L191" s="7" t="s">
        <v>334</v>
      </c>
      <c r="M191" s="10" t="s">
        <v>594</v>
      </c>
      <c r="N191" t="s">
        <v>650</v>
      </c>
      <c r="O191" s="10" t="s">
        <v>653</v>
      </c>
    </row>
    <row r="192" spans="1:15" ht="15.6" x14ac:dyDescent="0.3">
      <c r="A192" s="3">
        <v>191</v>
      </c>
      <c r="B192" s="4" t="s">
        <v>18</v>
      </c>
      <c r="C192" s="5" t="s">
        <v>369</v>
      </c>
      <c r="D192" s="5" t="str">
        <f t="shared" si="3"/>
        <v>LM_HuaycanZonaX</v>
      </c>
      <c r="E192" s="7" t="s">
        <v>10</v>
      </c>
      <c r="F192" s="8">
        <v>45933</v>
      </c>
      <c r="G192" s="9" t="s">
        <v>11</v>
      </c>
      <c r="H192" s="7">
        <v>-12.0312</v>
      </c>
      <c r="I192" s="7">
        <v>-76.8202</v>
      </c>
      <c r="J192" s="7" t="s">
        <v>12</v>
      </c>
      <c r="K192" s="7" t="s">
        <v>12</v>
      </c>
      <c r="L192" s="7" t="s">
        <v>207</v>
      </c>
      <c r="M192" s="10" t="s">
        <v>594</v>
      </c>
      <c r="N192" t="s">
        <v>650</v>
      </c>
      <c r="O192" s="10" t="s">
        <v>653</v>
      </c>
    </row>
    <row r="193" spans="1:15" ht="15.6" x14ac:dyDescent="0.3">
      <c r="A193" s="3">
        <v>192</v>
      </c>
      <c r="B193" s="4" t="s">
        <v>18</v>
      </c>
      <c r="C193" s="5" t="s">
        <v>370</v>
      </c>
      <c r="D193" s="5" t="str">
        <f t="shared" si="3"/>
        <v>AQ_AltoEnsenada</v>
      </c>
      <c r="E193" s="7" t="s">
        <v>10</v>
      </c>
      <c r="F193" s="8">
        <v>45933</v>
      </c>
      <c r="G193" s="9" t="s">
        <v>354</v>
      </c>
      <c r="H193" s="7">
        <v>-17.113700000000001</v>
      </c>
      <c r="I193" s="7">
        <v>-71.855400000000003</v>
      </c>
      <c r="J193" s="7" t="s">
        <v>20</v>
      </c>
      <c r="K193" s="7" t="s">
        <v>218</v>
      </c>
      <c r="L193" s="7" t="s">
        <v>371</v>
      </c>
      <c r="M193" s="10" t="s">
        <v>592</v>
      </c>
      <c r="N193" t="s">
        <v>650</v>
      </c>
      <c r="O193" s="10" t="s">
        <v>653</v>
      </c>
    </row>
    <row r="194" spans="1:15" ht="15.6" x14ac:dyDescent="0.3">
      <c r="A194" s="3">
        <v>193</v>
      </c>
      <c r="B194" s="4" t="s">
        <v>18</v>
      </c>
      <c r="C194" s="5" t="s">
        <v>372</v>
      </c>
      <c r="D194" s="5" t="str">
        <f t="shared" si="3"/>
        <v>LI_SamCarlosDeLaredo</v>
      </c>
      <c r="E194" s="7" t="s">
        <v>10</v>
      </c>
      <c r="F194" s="8">
        <v>45933</v>
      </c>
      <c r="G194" s="9" t="s">
        <v>354</v>
      </c>
      <c r="H194" s="7">
        <v>-8.0719899999999996</v>
      </c>
      <c r="I194" s="7">
        <v>-78.950500000000005</v>
      </c>
      <c r="J194" s="7" t="s">
        <v>58</v>
      </c>
      <c r="K194" s="7" t="s">
        <v>138</v>
      </c>
      <c r="L194" s="7" t="s">
        <v>373</v>
      </c>
      <c r="M194" s="10" t="s">
        <v>593</v>
      </c>
      <c r="N194" t="s">
        <v>650</v>
      </c>
      <c r="O194" s="10" t="s">
        <v>653</v>
      </c>
    </row>
    <row r="195" spans="1:15" ht="15.6" x14ac:dyDescent="0.3">
      <c r="A195" s="3">
        <v>194</v>
      </c>
      <c r="B195" s="4" t="s">
        <v>18</v>
      </c>
      <c r="C195" s="5" t="s">
        <v>374</v>
      </c>
      <c r="D195" s="5" t="str">
        <f t="shared" si="3"/>
        <v>PI_ParqueJoseOlaya</v>
      </c>
      <c r="E195" s="7" t="s">
        <v>10</v>
      </c>
      <c r="F195" s="8">
        <v>45933</v>
      </c>
      <c r="G195" s="9" t="s">
        <v>354</v>
      </c>
      <c r="H195" s="7">
        <v>-4.8950100000000001</v>
      </c>
      <c r="I195" s="7">
        <v>-80.672600000000003</v>
      </c>
      <c r="J195" s="7" t="s">
        <v>53</v>
      </c>
      <c r="K195" s="7" t="s">
        <v>78</v>
      </c>
      <c r="L195" s="7" t="s">
        <v>334</v>
      </c>
      <c r="M195" s="10" t="s">
        <v>593</v>
      </c>
      <c r="N195" t="s">
        <v>651</v>
      </c>
      <c r="O195" s="10" t="s">
        <v>653</v>
      </c>
    </row>
    <row r="196" spans="1:15" ht="15.6" x14ac:dyDescent="0.3">
      <c r="A196" s="3">
        <v>195</v>
      </c>
      <c r="B196" s="4" t="s">
        <v>18</v>
      </c>
      <c r="C196" s="5" t="s">
        <v>375</v>
      </c>
      <c r="D196" s="5" t="str">
        <f t="shared" si="3"/>
        <v>AQ_LosMontoneros</v>
      </c>
      <c r="E196" s="7" t="s">
        <v>10</v>
      </c>
      <c r="F196" s="8">
        <v>45933</v>
      </c>
      <c r="G196" s="9" t="s">
        <v>354</v>
      </c>
      <c r="H196" s="7">
        <v>-16.3108</v>
      </c>
      <c r="I196" s="7">
        <v>-71.552899999999994</v>
      </c>
      <c r="J196" s="7" t="s">
        <v>20</v>
      </c>
      <c r="K196" s="7" t="s">
        <v>20</v>
      </c>
      <c r="L196" s="7" t="s">
        <v>21</v>
      </c>
      <c r="M196" s="10" t="s">
        <v>592</v>
      </c>
      <c r="N196" t="s">
        <v>650</v>
      </c>
      <c r="O196" s="10" t="s">
        <v>653</v>
      </c>
    </row>
    <row r="197" spans="1:15" ht="15.6" x14ac:dyDescent="0.3">
      <c r="A197" s="3">
        <v>196</v>
      </c>
      <c r="B197" s="4" t="s">
        <v>18</v>
      </c>
      <c r="C197" s="5" t="s">
        <v>376</v>
      </c>
      <c r="D197" s="5" t="str">
        <f t="shared" si="3"/>
        <v>CA_CascadaParkJaen</v>
      </c>
      <c r="E197" s="7" t="s">
        <v>10</v>
      </c>
      <c r="F197" s="8">
        <v>45933</v>
      </c>
      <c r="G197" s="9" t="s">
        <v>354</v>
      </c>
      <c r="H197" s="7">
        <v>-5.6918600000000001</v>
      </c>
      <c r="I197" s="7">
        <v>-78.806700000000006</v>
      </c>
      <c r="J197" s="7" t="s">
        <v>81</v>
      </c>
      <c r="K197" s="7" t="s">
        <v>151</v>
      </c>
      <c r="L197" s="7" t="s">
        <v>151</v>
      </c>
      <c r="M197" s="10" t="s">
        <v>592</v>
      </c>
      <c r="N197" t="s">
        <v>650</v>
      </c>
      <c r="O197" s="10" t="s">
        <v>653</v>
      </c>
    </row>
    <row r="198" spans="1:15" ht="15.6" x14ac:dyDescent="0.3">
      <c r="A198" s="3">
        <v>197</v>
      </c>
      <c r="B198" s="4" t="s">
        <v>18</v>
      </c>
      <c r="C198" s="5" t="s">
        <v>377</v>
      </c>
      <c r="D198" s="5" t="str">
        <f t="shared" si="3"/>
        <v>LM_CruzDeMayo</v>
      </c>
      <c r="E198" s="7" t="s">
        <v>10</v>
      </c>
      <c r="F198" s="8">
        <v>45935</v>
      </c>
      <c r="G198" s="9" t="s">
        <v>354</v>
      </c>
      <c r="H198" s="7">
        <v>-12.026199999999999</v>
      </c>
      <c r="I198" s="7">
        <v>-76.834699999999998</v>
      </c>
      <c r="J198" s="7" t="s">
        <v>12</v>
      </c>
      <c r="K198" s="7" t="s">
        <v>12</v>
      </c>
      <c r="L198" s="7" t="s">
        <v>207</v>
      </c>
      <c r="M198" s="10" t="s">
        <v>594</v>
      </c>
      <c r="N198" t="s">
        <v>650</v>
      </c>
      <c r="O198" s="10" t="s">
        <v>653</v>
      </c>
    </row>
    <row r="199" spans="1:15" ht="15.6" x14ac:dyDescent="0.3">
      <c r="A199" s="3">
        <v>198</v>
      </c>
      <c r="B199" s="4" t="s">
        <v>18</v>
      </c>
      <c r="C199" s="5" t="s">
        <v>378</v>
      </c>
      <c r="D199" s="5" t="str">
        <f t="shared" si="3"/>
        <v>LM_LaPalmaDeBarranca</v>
      </c>
      <c r="E199" s="7" t="s">
        <v>10</v>
      </c>
      <c r="F199" s="8">
        <v>45935</v>
      </c>
      <c r="G199" s="9" t="s">
        <v>354</v>
      </c>
      <c r="H199" s="7">
        <v>-10.772399999999999</v>
      </c>
      <c r="I199" s="7">
        <v>-77.747699999999995</v>
      </c>
      <c r="J199" s="7" t="s">
        <v>12</v>
      </c>
      <c r="K199" s="7" t="s">
        <v>153</v>
      </c>
      <c r="L199" s="7" t="s">
        <v>153</v>
      </c>
      <c r="M199" s="10" t="s">
        <v>594</v>
      </c>
      <c r="N199" t="s">
        <v>650</v>
      </c>
      <c r="O199" s="10" t="s">
        <v>653</v>
      </c>
    </row>
    <row r="200" spans="1:15" ht="15.6" x14ac:dyDescent="0.3">
      <c r="A200" s="3">
        <v>199</v>
      </c>
      <c r="B200" s="4" t="s">
        <v>18</v>
      </c>
      <c r="C200" s="5" t="s">
        <v>379</v>
      </c>
      <c r="D200" s="5" t="str">
        <f t="shared" si="3"/>
        <v>PN_EstadioDeAyaviri</v>
      </c>
      <c r="E200" s="7" t="s">
        <v>10</v>
      </c>
      <c r="F200" s="8">
        <v>45935</v>
      </c>
      <c r="G200" s="9" t="s">
        <v>354</v>
      </c>
      <c r="H200" s="7">
        <v>-14.8764</v>
      </c>
      <c r="I200" s="7">
        <v>-70.597200000000001</v>
      </c>
      <c r="J200" s="7" t="s">
        <v>126</v>
      </c>
      <c r="K200" s="7" t="s">
        <v>380</v>
      </c>
      <c r="L200" s="7" t="s">
        <v>381</v>
      </c>
      <c r="M200" s="10" t="s">
        <v>592</v>
      </c>
      <c r="N200" t="s">
        <v>650</v>
      </c>
      <c r="O200" s="10" t="s">
        <v>653</v>
      </c>
    </row>
    <row r="201" spans="1:15" ht="15.6" x14ac:dyDescent="0.3">
      <c r="A201" s="3">
        <v>200</v>
      </c>
      <c r="B201" s="4" t="s">
        <v>18</v>
      </c>
      <c r="C201" s="5" t="s">
        <v>382</v>
      </c>
      <c r="D201" s="5" t="str">
        <f t="shared" ref="D201:D264" si="4">+RIGHT(C201,LEN(C201)-10)</f>
        <v>PI_UnivNacionalDeFrontera</v>
      </c>
      <c r="E201" s="7" t="s">
        <v>10</v>
      </c>
      <c r="F201" s="8">
        <v>45935</v>
      </c>
      <c r="G201" s="9" t="s">
        <v>354</v>
      </c>
      <c r="H201" s="7">
        <v>-4.91256</v>
      </c>
      <c r="I201" s="7">
        <v>-80.727400000000003</v>
      </c>
      <c r="J201" s="7" t="s">
        <v>53</v>
      </c>
      <c r="K201" s="7" t="s">
        <v>78</v>
      </c>
      <c r="L201" s="7" t="s">
        <v>78</v>
      </c>
      <c r="M201" s="10" t="s">
        <v>593</v>
      </c>
      <c r="N201" t="s">
        <v>650</v>
      </c>
      <c r="O201" s="10" t="s">
        <v>653</v>
      </c>
    </row>
    <row r="202" spans="1:15" ht="15.6" x14ac:dyDescent="0.3">
      <c r="A202" s="3">
        <v>201</v>
      </c>
      <c r="B202" s="4" t="s">
        <v>18</v>
      </c>
      <c r="C202" s="5" t="s">
        <v>383</v>
      </c>
      <c r="D202" s="5" t="str">
        <f t="shared" si="4"/>
        <v>LI_GenaroSilva</v>
      </c>
      <c r="E202" s="7" t="s">
        <v>10</v>
      </c>
      <c r="F202" s="8">
        <v>45935</v>
      </c>
      <c r="G202" s="9" t="s">
        <v>354</v>
      </c>
      <c r="H202" s="7">
        <v>-7.2194000000000003</v>
      </c>
      <c r="I202" s="7">
        <v>-79.434200000000004</v>
      </c>
      <c r="J202" s="7" t="s">
        <v>58</v>
      </c>
      <c r="K202" s="7" t="s">
        <v>59</v>
      </c>
      <c r="L202" s="7" t="s">
        <v>59</v>
      </c>
      <c r="M202" s="10" t="s">
        <v>593</v>
      </c>
      <c r="N202" t="s">
        <v>650</v>
      </c>
      <c r="O202" s="10" t="s">
        <v>653</v>
      </c>
    </row>
    <row r="203" spans="1:15" ht="15.6" x14ac:dyDescent="0.3">
      <c r="A203" s="3">
        <v>202</v>
      </c>
      <c r="B203" s="4" t="s">
        <v>18</v>
      </c>
      <c r="C203" s="5" t="s">
        <v>384</v>
      </c>
      <c r="D203" s="5" t="str">
        <f t="shared" si="4"/>
        <v>LH_SanJorge</v>
      </c>
      <c r="E203" s="7" t="s">
        <v>10</v>
      </c>
      <c r="F203" s="8">
        <v>45936</v>
      </c>
      <c r="G203" s="9" t="s">
        <v>354</v>
      </c>
      <c r="H203" s="7">
        <v>-9.2895900000000005</v>
      </c>
      <c r="I203" s="7">
        <v>-75.971599999999995</v>
      </c>
      <c r="J203" s="7" t="s">
        <v>34</v>
      </c>
      <c r="K203" s="7" t="s">
        <v>340</v>
      </c>
      <c r="L203" s="7" t="s">
        <v>385</v>
      </c>
      <c r="M203" s="10" t="s">
        <v>595</v>
      </c>
      <c r="N203" t="s">
        <v>650</v>
      </c>
      <c r="O203" s="10" t="s">
        <v>653</v>
      </c>
    </row>
    <row r="204" spans="1:15" ht="15.6" x14ac:dyDescent="0.3">
      <c r="A204" s="3">
        <v>203</v>
      </c>
      <c r="B204" s="4" t="s">
        <v>18</v>
      </c>
      <c r="C204" s="5" t="s">
        <v>386</v>
      </c>
      <c r="D204" s="5" t="str">
        <f t="shared" si="4"/>
        <v>IC_VillaEsperanza</v>
      </c>
      <c r="E204" s="7" t="s">
        <v>10</v>
      </c>
      <c r="F204" s="8">
        <v>45937</v>
      </c>
      <c r="G204" s="9" t="s">
        <v>354</v>
      </c>
      <c r="H204" s="7">
        <v>-13.6639</v>
      </c>
      <c r="I204" s="7">
        <v>-76.149900000000002</v>
      </c>
      <c r="J204" s="7" t="s">
        <v>83</v>
      </c>
      <c r="K204" s="7" t="s">
        <v>117</v>
      </c>
      <c r="L204" s="7" t="s">
        <v>387</v>
      </c>
      <c r="M204" s="10" t="s">
        <v>593</v>
      </c>
      <c r="N204" t="s">
        <v>650</v>
      </c>
      <c r="O204" s="10" t="s">
        <v>653</v>
      </c>
    </row>
    <row r="205" spans="1:15" ht="15.6" x14ac:dyDescent="0.3">
      <c r="A205" s="3">
        <v>204</v>
      </c>
      <c r="B205" s="4" t="s">
        <v>18</v>
      </c>
      <c r="C205" s="5" t="s">
        <v>388</v>
      </c>
      <c r="D205" s="5" t="str">
        <f t="shared" si="4"/>
        <v>LM_Pflucker</v>
      </c>
      <c r="E205" s="7" t="s">
        <v>10</v>
      </c>
      <c r="F205" s="8">
        <v>45937</v>
      </c>
      <c r="G205" s="9" t="s">
        <v>354</v>
      </c>
      <c r="H205" s="7">
        <v>-12.519600000000001</v>
      </c>
      <c r="I205" s="7">
        <v>-76.725999999999999</v>
      </c>
      <c r="J205" s="7" t="s">
        <v>12</v>
      </c>
      <c r="K205" s="7" t="s">
        <v>16</v>
      </c>
      <c r="L205" s="7" t="s">
        <v>302</v>
      </c>
      <c r="M205" s="10" t="s">
        <v>594</v>
      </c>
      <c r="N205" t="s">
        <v>650</v>
      </c>
      <c r="O205" s="10" t="s">
        <v>653</v>
      </c>
    </row>
    <row r="206" spans="1:15" ht="15.6" x14ac:dyDescent="0.3">
      <c r="A206" s="3">
        <v>205</v>
      </c>
      <c r="B206" s="4" t="s">
        <v>18</v>
      </c>
      <c r="C206" s="5" t="s">
        <v>389</v>
      </c>
      <c r="D206" s="5" t="str">
        <f t="shared" si="4"/>
        <v>LA_PlantaDeVidDeChongoyape</v>
      </c>
      <c r="E206" s="7" t="s">
        <v>10</v>
      </c>
      <c r="F206" s="8">
        <v>45939</v>
      </c>
      <c r="G206" s="9" t="s">
        <v>354</v>
      </c>
      <c r="H206" s="7">
        <v>-6.3682600000000003</v>
      </c>
      <c r="I206" s="7">
        <v>-79.788899999999998</v>
      </c>
      <c r="J206" s="7" t="s">
        <v>71</v>
      </c>
      <c r="K206" s="7" t="s">
        <v>71</v>
      </c>
      <c r="L206" s="7" t="s">
        <v>390</v>
      </c>
      <c r="M206" s="10" t="s">
        <v>593</v>
      </c>
      <c r="N206" t="s">
        <v>650</v>
      </c>
      <c r="O206" s="10" t="s">
        <v>653</v>
      </c>
    </row>
    <row r="207" spans="1:15" ht="15.6" x14ac:dyDescent="0.3">
      <c r="A207" s="3">
        <v>206</v>
      </c>
      <c r="B207" s="4" t="s">
        <v>18</v>
      </c>
      <c r="C207" s="5" t="s">
        <v>391</v>
      </c>
      <c r="D207" s="5" t="str">
        <f t="shared" si="4"/>
        <v>AN_Ranrahirca</v>
      </c>
      <c r="E207" s="7" t="s">
        <v>10</v>
      </c>
      <c r="F207" s="8">
        <v>45939</v>
      </c>
      <c r="G207" s="9" t="s">
        <v>354</v>
      </c>
      <c r="H207" s="7">
        <v>-9.1730599999999995</v>
      </c>
      <c r="I207" s="7">
        <v>-77.719499999999996</v>
      </c>
      <c r="J207" s="7" t="s">
        <v>122</v>
      </c>
      <c r="K207" s="7" t="s">
        <v>392</v>
      </c>
      <c r="L207" s="7" t="s">
        <v>393</v>
      </c>
      <c r="M207" s="10" t="s">
        <v>593</v>
      </c>
      <c r="N207" t="s">
        <v>650</v>
      </c>
      <c r="O207" s="10" t="s">
        <v>653</v>
      </c>
    </row>
    <row r="208" spans="1:15" ht="15.6" x14ac:dyDescent="0.3">
      <c r="A208" s="3">
        <v>207</v>
      </c>
      <c r="B208" s="4" t="s">
        <v>18</v>
      </c>
      <c r="C208" s="5" t="s">
        <v>394</v>
      </c>
      <c r="D208" s="5" t="str">
        <f t="shared" si="4"/>
        <v>LM_CondominiosAltoDelRimac</v>
      </c>
      <c r="E208" s="7" t="s">
        <v>10</v>
      </c>
      <c r="F208" s="8">
        <v>45939</v>
      </c>
      <c r="G208" s="9" t="s">
        <v>354</v>
      </c>
      <c r="H208" s="7">
        <v>-12.015000000000001</v>
      </c>
      <c r="I208" s="7">
        <v>-77.042900000000003</v>
      </c>
      <c r="J208" s="7" t="s">
        <v>12</v>
      </c>
      <c r="K208" s="7" t="s">
        <v>12</v>
      </c>
      <c r="L208" s="7" t="s">
        <v>395</v>
      </c>
      <c r="M208" s="10" t="s">
        <v>594</v>
      </c>
      <c r="N208" t="s">
        <v>650</v>
      </c>
      <c r="O208" s="10" t="s">
        <v>653</v>
      </c>
    </row>
    <row r="209" spans="1:15" ht="15.6" x14ac:dyDescent="0.3">
      <c r="A209" s="3">
        <v>208</v>
      </c>
      <c r="B209" s="4" t="s">
        <v>18</v>
      </c>
      <c r="C209" s="5" t="s">
        <v>396</v>
      </c>
      <c r="D209" s="5" t="str">
        <f t="shared" si="4"/>
        <v>LH_AltoHuanuco</v>
      </c>
      <c r="E209" s="7" t="s">
        <v>10</v>
      </c>
      <c r="F209" s="8">
        <v>45940</v>
      </c>
      <c r="G209" s="9" t="s">
        <v>354</v>
      </c>
      <c r="H209" s="7">
        <v>-9.9058399999999995</v>
      </c>
      <c r="I209" s="7">
        <v>-76.240600000000001</v>
      </c>
      <c r="J209" s="7" t="s">
        <v>34</v>
      </c>
      <c r="K209" s="7" t="s">
        <v>34</v>
      </c>
      <c r="L209" s="7" t="s">
        <v>34</v>
      </c>
      <c r="M209" s="10" t="s">
        <v>595</v>
      </c>
      <c r="N209" t="s">
        <v>651</v>
      </c>
      <c r="O209" s="10" t="s">
        <v>653</v>
      </c>
    </row>
    <row r="210" spans="1:15" ht="15.6" x14ac:dyDescent="0.3">
      <c r="A210" s="3">
        <v>209</v>
      </c>
      <c r="B210" s="4" t="s">
        <v>18</v>
      </c>
      <c r="C210" s="5" t="s">
        <v>397</v>
      </c>
      <c r="D210" s="5" t="str">
        <f t="shared" si="4"/>
        <v>LM_ClubEcuestreHuachipa</v>
      </c>
      <c r="E210" s="7" t="s">
        <v>10</v>
      </c>
      <c r="F210" s="8">
        <v>45940</v>
      </c>
      <c r="G210" s="9" t="s">
        <v>354</v>
      </c>
      <c r="H210" s="7">
        <v>-12.0121</v>
      </c>
      <c r="I210" s="7">
        <v>-76.925799999999995</v>
      </c>
      <c r="J210" s="7" t="s">
        <v>12</v>
      </c>
      <c r="K210" s="7" t="s">
        <v>12</v>
      </c>
      <c r="L210" s="7" t="s">
        <v>67</v>
      </c>
      <c r="M210" s="10" t="s">
        <v>594</v>
      </c>
      <c r="N210" t="s">
        <v>650</v>
      </c>
      <c r="O210" s="10" t="s">
        <v>653</v>
      </c>
    </row>
    <row r="211" spans="1:15" ht="15.6" x14ac:dyDescent="0.3">
      <c r="A211" s="3">
        <v>210</v>
      </c>
      <c r="B211" s="4" t="s">
        <v>313</v>
      </c>
      <c r="C211" s="5" t="s">
        <v>398</v>
      </c>
      <c r="D211" s="5" t="str">
        <f t="shared" si="4"/>
        <v>AP_Totorabamba</v>
      </c>
      <c r="E211" s="7" t="s">
        <v>10</v>
      </c>
      <c r="F211" s="8">
        <v>45943</v>
      </c>
      <c r="G211" s="9" t="s">
        <v>11</v>
      </c>
      <c r="H211" s="7">
        <v>-13.5388</v>
      </c>
      <c r="I211" s="7">
        <v>-73.664299999999997</v>
      </c>
      <c r="J211" s="7" t="s">
        <v>239</v>
      </c>
      <c r="K211" s="7" t="s">
        <v>399</v>
      </c>
      <c r="L211" s="7" t="s">
        <v>400</v>
      </c>
      <c r="M211" s="10" t="s">
        <v>596</v>
      </c>
      <c r="N211" t="s">
        <v>651</v>
      </c>
      <c r="O211" s="10" t="s">
        <v>653</v>
      </c>
    </row>
    <row r="212" spans="1:15" ht="15.6" x14ac:dyDescent="0.3">
      <c r="A212" s="3">
        <v>211</v>
      </c>
      <c r="B212" s="4" t="s">
        <v>18</v>
      </c>
      <c r="C212" s="5" t="s">
        <v>401</v>
      </c>
      <c r="D212" s="5" t="str">
        <f t="shared" si="4"/>
        <v>LM_BujamaAlta</v>
      </c>
      <c r="E212" s="7" t="s">
        <v>10</v>
      </c>
      <c r="F212" s="8">
        <v>45944</v>
      </c>
      <c r="G212" s="9" t="s">
        <v>354</v>
      </c>
      <c r="H212" s="7">
        <v>-12.7128</v>
      </c>
      <c r="I212" s="7">
        <v>-76.610100000000003</v>
      </c>
      <c r="J212" s="7" t="s">
        <v>12</v>
      </c>
      <c r="K212" s="7" t="s">
        <v>16</v>
      </c>
      <c r="L212" s="7" t="s">
        <v>131</v>
      </c>
      <c r="M212" s="10" t="s">
        <v>594</v>
      </c>
      <c r="N212" t="s">
        <v>650</v>
      </c>
      <c r="O212" s="10" t="s">
        <v>653</v>
      </c>
    </row>
    <row r="213" spans="1:15" ht="15.6" x14ac:dyDescent="0.3">
      <c r="A213" s="3">
        <v>212</v>
      </c>
      <c r="B213" s="4" t="s">
        <v>18</v>
      </c>
      <c r="C213" s="5" t="s">
        <v>402</v>
      </c>
      <c r="D213" s="5" t="str">
        <f t="shared" si="4"/>
        <v>LA_BatangrandeCiudad</v>
      </c>
      <c r="E213" s="7" t="s">
        <v>10</v>
      </c>
      <c r="F213" s="8">
        <v>45944</v>
      </c>
      <c r="G213" s="9" t="s">
        <v>354</v>
      </c>
      <c r="H213" s="7">
        <v>-6.4798400000000003</v>
      </c>
      <c r="I213" s="7">
        <v>-79.647900000000007</v>
      </c>
      <c r="J213" s="7" t="s">
        <v>71</v>
      </c>
      <c r="K213" s="7" t="s">
        <v>247</v>
      </c>
      <c r="L213" s="7" t="s">
        <v>403</v>
      </c>
      <c r="M213" s="10" t="s">
        <v>593</v>
      </c>
      <c r="N213" t="s">
        <v>650</v>
      </c>
      <c r="O213" s="10" t="s">
        <v>653</v>
      </c>
    </row>
    <row r="214" spans="1:15" ht="15.6" x14ac:dyDescent="0.3">
      <c r="A214" s="3">
        <v>213</v>
      </c>
      <c r="B214" s="4" t="s">
        <v>18</v>
      </c>
      <c r="C214" s="5" t="s">
        <v>404</v>
      </c>
      <c r="D214" s="5" t="str">
        <f t="shared" si="4"/>
        <v>IC_MirafloresAlegre</v>
      </c>
      <c r="E214" s="7" t="s">
        <v>10</v>
      </c>
      <c r="F214" s="8">
        <v>45944</v>
      </c>
      <c r="G214" s="9" t="s">
        <v>354</v>
      </c>
      <c r="H214" s="7">
        <v>-14.8558</v>
      </c>
      <c r="I214" s="7">
        <v>-74.933700000000002</v>
      </c>
      <c r="J214" s="7" t="s">
        <v>83</v>
      </c>
      <c r="K214" s="7" t="s">
        <v>331</v>
      </c>
      <c r="L214" s="7" t="s">
        <v>405</v>
      </c>
      <c r="M214" s="10" t="s">
        <v>593</v>
      </c>
      <c r="N214" t="s">
        <v>650</v>
      </c>
      <c r="O214" s="10" t="s">
        <v>653</v>
      </c>
    </row>
    <row r="215" spans="1:15" ht="15.6" x14ac:dyDescent="0.3">
      <c r="A215" s="3">
        <v>214</v>
      </c>
      <c r="B215" s="4" t="s">
        <v>18</v>
      </c>
      <c r="C215" s="5" t="s">
        <v>406</v>
      </c>
      <c r="D215" s="5" t="str">
        <f t="shared" si="4"/>
        <v>LI_ParqueEterno</v>
      </c>
      <c r="E215" s="7" t="s">
        <v>10</v>
      </c>
      <c r="F215" s="8">
        <v>45944</v>
      </c>
      <c r="G215" s="9" t="s">
        <v>354</v>
      </c>
      <c r="H215" s="7">
        <v>-8.1011199999999999</v>
      </c>
      <c r="I215" s="7">
        <v>-79.055800000000005</v>
      </c>
      <c r="J215" s="7" t="s">
        <v>58</v>
      </c>
      <c r="K215" s="7" t="s">
        <v>138</v>
      </c>
      <c r="L215" s="7" t="s">
        <v>193</v>
      </c>
      <c r="M215" s="10" t="s">
        <v>593</v>
      </c>
      <c r="N215" t="s">
        <v>650</v>
      </c>
      <c r="O215" s="10" t="s">
        <v>653</v>
      </c>
    </row>
    <row r="216" spans="1:15" ht="15.6" x14ac:dyDescent="0.3">
      <c r="A216" s="3">
        <v>215</v>
      </c>
      <c r="B216" s="4" t="s">
        <v>18</v>
      </c>
      <c r="C216" s="5" t="s">
        <v>407</v>
      </c>
      <c r="D216" s="5" t="str">
        <f t="shared" si="4"/>
        <v>PI_VillaPrimavera</v>
      </c>
      <c r="E216" s="7" t="s">
        <v>10</v>
      </c>
      <c r="F216" s="8">
        <v>45944</v>
      </c>
      <c r="G216" s="9" t="s">
        <v>354</v>
      </c>
      <c r="H216" s="7">
        <v>-4.9058000000000002</v>
      </c>
      <c r="I216" s="7">
        <v>-80.713999999999999</v>
      </c>
      <c r="J216" s="7" t="s">
        <v>53</v>
      </c>
      <c r="K216" s="7" t="s">
        <v>78</v>
      </c>
      <c r="L216" s="7" t="s">
        <v>78</v>
      </c>
      <c r="M216" s="10" t="s">
        <v>593</v>
      </c>
      <c r="N216" t="s">
        <v>650</v>
      </c>
      <c r="O216" s="10" t="s">
        <v>653</v>
      </c>
    </row>
    <row r="217" spans="1:15" ht="15.6" x14ac:dyDescent="0.3">
      <c r="A217" s="3">
        <v>216</v>
      </c>
      <c r="B217" s="4" t="s">
        <v>18</v>
      </c>
      <c r="C217" s="5" t="s">
        <v>408</v>
      </c>
      <c r="D217" s="5" t="str">
        <f t="shared" si="4"/>
        <v>LI_AvCotrina</v>
      </c>
      <c r="E217" s="7" t="s">
        <v>10</v>
      </c>
      <c r="F217" s="8">
        <v>45944</v>
      </c>
      <c r="G217" s="9" t="s">
        <v>354</v>
      </c>
      <c r="H217" s="7">
        <v>-7.2049700000000003</v>
      </c>
      <c r="I217" s="7">
        <v>-79.427199999999999</v>
      </c>
      <c r="J217" s="7" t="s">
        <v>58</v>
      </c>
      <c r="K217" s="7" t="s">
        <v>59</v>
      </c>
      <c r="L217" s="7" t="s">
        <v>59</v>
      </c>
      <c r="M217" s="10" t="s">
        <v>593</v>
      </c>
      <c r="N217" t="s">
        <v>650</v>
      </c>
      <c r="O217" s="10" t="s">
        <v>653</v>
      </c>
    </row>
    <row r="218" spans="1:15" ht="15.6" x14ac:dyDescent="0.3">
      <c r="A218" s="3">
        <v>217</v>
      </c>
      <c r="B218" s="4" t="s">
        <v>18</v>
      </c>
      <c r="C218" s="5" t="s">
        <v>409</v>
      </c>
      <c r="D218" s="5" t="str">
        <f t="shared" si="4"/>
        <v>AN_RioSalcedo</v>
      </c>
      <c r="E218" s="7" t="s">
        <v>10</v>
      </c>
      <c r="F218" s="8">
        <v>45944</v>
      </c>
      <c r="G218" s="9" t="s">
        <v>354</v>
      </c>
      <c r="H218" s="7">
        <v>-9.1180099999999999</v>
      </c>
      <c r="I218" s="7">
        <v>-78.491900000000001</v>
      </c>
      <c r="J218" s="7" t="s">
        <v>122</v>
      </c>
      <c r="K218" s="7" t="s">
        <v>160</v>
      </c>
      <c r="L218" s="7" t="s">
        <v>410</v>
      </c>
      <c r="M218" s="10" t="s">
        <v>593</v>
      </c>
      <c r="N218" t="s">
        <v>649</v>
      </c>
      <c r="O218" s="10" t="s">
        <v>653</v>
      </c>
    </row>
    <row r="219" spans="1:15" ht="15.6" x14ac:dyDescent="0.3">
      <c r="A219" s="3">
        <v>218</v>
      </c>
      <c r="B219" s="4" t="s">
        <v>18</v>
      </c>
      <c r="C219" s="5" t="s">
        <v>411</v>
      </c>
      <c r="D219" s="5" t="str">
        <f t="shared" si="4"/>
        <v>CA_IndependenciaCajamarca</v>
      </c>
      <c r="E219" s="7" t="s">
        <v>10</v>
      </c>
      <c r="F219" s="8">
        <v>45945</v>
      </c>
      <c r="G219" s="9" t="s">
        <v>354</v>
      </c>
      <c r="H219" s="7">
        <v>-7.1778500000000003</v>
      </c>
      <c r="I219" s="7">
        <v>-78.512600000000006</v>
      </c>
      <c r="J219" s="7" t="s">
        <v>81</v>
      </c>
      <c r="K219" s="7" t="s">
        <v>81</v>
      </c>
      <c r="L219" s="7" t="s">
        <v>81</v>
      </c>
      <c r="M219" s="10" t="s">
        <v>592</v>
      </c>
      <c r="N219" t="s">
        <v>651</v>
      </c>
      <c r="O219" s="10" t="s">
        <v>653</v>
      </c>
    </row>
    <row r="220" spans="1:15" ht="15.6" x14ac:dyDescent="0.3">
      <c r="A220" s="3">
        <v>219</v>
      </c>
      <c r="B220" s="4" t="s">
        <v>18</v>
      </c>
      <c r="C220" s="5" t="s">
        <v>412</v>
      </c>
      <c r="D220" s="5" t="str">
        <f t="shared" si="4"/>
        <v>LI_LosEspinos</v>
      </c>
      <c r="E220" s="7" t="s">
        <v>10</v>
      </c>
      <c r="F220" s="8">
        <v>45946</v>
      </c>
      <c r="G220" s="9" t="s">
        <v>354</v>
      </c>
      <c r="H220" s="7">
        <v>-8.0983599999999996</v>
      </c>
      <c r="I220" s="7">
        <v>-78.995900000000006</v>
      </c>
      <c r="J220" s="7" t="s">
        <v>58</v>
      </c>
      <c r="K220" s="7" t="s">
        <v>138</v>
      </c>
      <c r="L220" s="7" t="s">
        <v>138</v>
      </c>
      <c r="M220" s="10" t="s">
        <v>593</v>
      </c>
      <c r="N220" t="s">
        <v>650</v>
      </c>
      <c r="O220" s="10" t="s">
        <v>653</v>
      </c>
    </row>
    <row r="221" spans="1:15" ht="15.6" x14ac:dyDescent="0.3">
      <c r="A221" s="3">
        <v>220</v>
      </c>
      <c r="B221" s="4" t="s">
        <v>18</v>
      </c>
      <c r="C221" s="5" t="s">
        <v>413</v>
      </c>
      <c r="D221" s="5" t="str">
        <f t="shared" si="4"/>
        <v>IC_Lupuna</v>
      </c>
      <c r="E221" s="7" t="s">
        <v>10</v>
      </c>
      <c r="F221" s="8">
        <v>45946</v>
      </c>
      <c r="G221" s="9" t="s">
        <v>354</v>
      </c>
      <c r="H221" s="7">
        <v>-14.0982</v>
      </c>
      <c r="I221" s="7">
        <v>-75.721199999999996</v>
      </c>
      <c r="J221" s="7" t="s">
        <v>83</v>
      </c>
      <c r="K221" s="7" t="s">
        <v>83</v>
      </c>
      <c r="L221" s="7" t="s">
        <v>83</v>
      </c>
      <c r="M221" s="10" t="s">
        <v>593</v>
      </c>
      <c r="N221" t="s">
        <v>650</v>
      </c>
      <c r="O221" s="10" t="s">
        <v>653</v>
      </c>
    </row>
    <row r="222" spans="1:15" ht="15.6" x14ac:dyDescent="0.3">
      <c r="A222" s="3">
        <v>221</v>
      </c>
      <c r="B222" s="4" t="s">
        <v>18</v>
      </c>
      <c r="C222" s="5" t="s">
        <v>414</v>
      </c>
      <c r="D222" s="5" t="str">
        <f t="shared" si="4"/>
        <v>AQ_GarciaCalderon</v>
      </c>
      <c r="E222" s="7" t="s">
        <v>10</v>
      </c>
      <c r="F222" s="8">
        <v>45950</v>
      </c>
      <c r="G222" s="9" t="s">
        <v>354</v>
      </c>
      <c r="H222" s="7">
        <v>-16.364000000000001</v>
      </c>
      <c r="I222" s="7">
        <v>-71.520200000000003</v>
      </c>
      <c r="J222" s="7" t="s">
        <v>20</v>
      </c>
      <c r="K222" s="7" t="s">
        <v>20</v>
      </c>
      <c r="L222" s="7" t="s">
        <v>415</v>
      </c>
      <c r="M222" s="10" t="s">
        <v>592</v>
      </c>
      <c r="N222" t="s">
        <v>651</v>
      </c>
      <c r="O222" s="10" t="s">
        <v>653</v>
      </c>
    </row>
    <row r="223" spans="1:15" ht="15.6" x14ac:dyDescent="0.3">
      <c r="A223" s="3">
        <v>222</v>
      </c>
      <c r="B223" s="4" t="s">
        <v>18</v>
      </c>
      <c r="C223" s="5" t="s">
        <v>416</v>
      </c>
      <c r="D223" s="5" t="str">
        <f t="shared" si="4"/>
        <v>PN_MeandroDeRioMaravilla</v>
      </c>
      <c r="E223" s="7" t="s">
        <v>10</v>
      </c>
      <c r="F223" s="8">
        <v>45950</v>
      </c>
      <c r="G223" s="9" t="s">
        <v>354</v>
      </c>
      <c r="H223" s="7">
        <v>-15.464499999999999</v>
      </c>
      <c r="I223" s="7">
        <v>-70.108999999999995</v>
      </c>
      <c r="J223" s="7" t="s">
        <v>126</v>
      </c>
      <c r="K223" s="7" t="s">
        <v>128</v>
      </c>
      <c r="L223" s="7" t="s">
        <v>417</v>
      </c>
      <c r="M223" s="10" t="s">
        <v>592</v>
      </c>
      <c r="N223" t="s">
        <v>650</v>
      </c>
      <c r="O223" s="10" t="s">
        <v>653</v>
      </c>
    </row>
    <row r="224" spans="1:15" ht="15.6" x14ac:dyDescent="0.3">
      <c r="A224" s="3">
        <v>223</v>
      </c>
      <c r="B224" s="4" t="s">
        <v>18</v>
      </c>
      <c r="C224" s="5" t="s">
        <v>418</v>
      </c>
      <c r="D224" s="5" t="str">
        <f t="shared" si="4"/>
        <v>AQ_OvaloMajes</v>
      </c>
      <c r="E224" s="7" t="s">
        <v>10</v>
      </c>
      <c r="F224" s="8">
        <v>45951</v>
      </c>
      <c r="G224" s="9" t="s">
        <v>354</v>
      </c>
      <c r="H224" s="7">
        <v>-16.3277</v>
      </c>
      <c r="I224" s="7">
        <v>-72.192300000000003</v>
      </c>
      <c r="J224" s="7" t="s">
        <v>20</v>
      </c>
      <c r="K224" s="7" t="s">
        <v>30</v>
      </c>
      <c r="L224" s="7" t="s">
        <v>31</v>
      </c>
      <c r="M224" s="10" t="s">
        <v>592</v>
      </c>
      <c r="N224" t="s">
        <v>650</v>
      </c>
      <c r="O224" s="10" t="s">
        <v>653</v>
      </c>
    </row>
    <row r="225" spans="1:15" ht="15.6" x14ac:dyDescent="0.3">
      <c r="A225" s="3">
        <v>224</v>
      </c>
      <c r="B225" s="4" t="s">
        <v>18</v>
      </c>
      <c r="C225" s="5" t="s">
        <v>419</v>
      </c>
      <c r="D225" s="5" t="str">
        <f t="shared" si="4"/>
        <v>LI_RoblesViera</v>
      </c>
      <c r="E225" s="7" t="s">
        <v>10</v>
      </c>
      <c r="F225" s="8">
        <v>45951</v>
      </c>
      <c r="G225" s="9" t="s">
        <v>354</v>
      </c>
      <c r="H225" s="7">
        <v>-7.2334800000000001</v>
      </c>
      <c r="I225" s="7">
        <v>-79.429699999999997</v>
      </c>
      <c r="J225" s="7" t="s">
        <v>58</v>
      </c>
      <c r="K225" s="7" t="s">
        <v>59</v>
      </c>
      <c r="L225" s="7" t="s">
        <v>59</v>
      </c>
      <c r="M225" s="10" t="s">
        <v>593</v>
      </c>
      <c r="N225" t="s">
        <v>650</v>
      </c>
      <c r="O225" s="10" t="s">
        <v>653</v>
      </c>
    </row>
    <row r="226" spans="1:15" ht="15.6" x14ac:dyDescent="0.3">
      <c r="A226" s="3">
        <v>225</v>
      </c>
      <c r="B226" s="4" t="s">
        <v>18</v>
      </c>
      <c r="C226" s="5" t="s">
        <v>420</v>
      </c>
      <c r="D226" s="5" t="str">
        <f t="shared" si="4"/>
        <v>LI_CaminoReal</v>
      </c>
      <c r="E226" s="7" t="s">
        <v>10</v>
      </c>
      <c r="F226" s="8">
        <v>45952</v>
      </c>
      <c r="G226" s="9" t="s">
        <v>354</v>
      </c>
      <c r="H226" s="7">
        <v>-8.1761400000000002</v>
      </c>
      <c r="I226" s="7">
        <v>-78.996200000000002</v>
      </c>
      <c r="J226" s="7" t="s">
        <v>58</v>
      </c>
      <c r="K226" s="7" t="s">
        <v>138</v>
      </c>
      <c r="L226" s="7" t="s">
        <v>421</v>
      </c>
      <c r="M226" s="10" t="s">
        <v>593</v>
      </c>
      <c r="N226" t="s">
        <v>650</v>
      </c>
      <c r="O226" s="10" t="s">
        <v>653</v>
      </c>
    </row>
    <row r="227" spans="1:15" ht="15.6" x14ac:dyDescent="0.3">
      <c r="A227" s="3">
        <v>226</v>
      </c>
      <c r="B227" s="4" t="s">
        <v>18</v>
      </c>
      <c r="C227" s="5" t="s">
        <v>422</v>
      </c>
      <c r="D227" s="5" t="str">
        <f t="shared" si="4"/>
        <v>AZ_KatariDeBagua</v>
      </c>
      <c r="E227" s="7" t="s">
        <v>10</v>
      </c>
      <c r="F227" s="8">
        <v>45952</v>
      </c>
      <c r="G227" s="9" t="s">
        <v>354</v>
      </c>
      <c r="H227" s="7">
        <v>-5.76417</v>
      </c>
      <c r="I227" s="7">
        <v>-78.433599999999998</v>
      </c>
      <c r="J227" s="7" t="s">
        <v>423</v>
      </c>
      <c r="K227" s="7" t="s">
        <v>424</v>
      </c>
      <c r="L227" s="7" t="s">
        <v>425</v>
      </c>
      <c r="M227" s="10" t="s">
        <v>595</v>
      </c>
      <c r="N227" t="s">
        <v>650</v>
      </c>
      <c r="O227" s="10" t="s">
        <v>653</v>
      </c>
    </row>
    <row r="228" spans="1:15" ht="15.6" x14ac:dyDescent="0.3">
      <c r="A228" s="3">
        <v>227</v>
      </c>
      <c r="B228" s="4" t="s">
        <v>18</v>
      </c>
      <c r="C228" s="5" t="s">
        <v>426</v>
      </c>
      <c r="D228" s="5" t="str">
        <f t="shared" si="4"/>
        <v>LI_Pesqueria</v>
      </c>
      <c r="E228" s="7" t="s">
        <v>10</v>
      </c>
      <c r="F228" s="8">
        <v>45957</v>
      </c>
      <c r="G228" s="9" t="s">
        <v>11</v>
      </c>
      <c r="H228" s="7">
        <v>-8.1356099999999998</v>
      </c>
      <c r="I228" s="7">
        <v>-79.064300000000003</v>
      </c>
      <c r="J228" s="7" t="s">
        <v>58</v>
      </c>
      <c r="K228" s="7" t="s">
        <v>138</v>
      </c>
      <c r="L228" s="7" t="s">
        <v>427</v>
      </c>
      <c r="M228" s="10" t="s">
        <v>593</v>
      </c>
      <c r="N228" t="s">
        <v>650</v>
      </c>
      <c r="O228" s="10" t="s">
        <v>653</v>
      </c>
    </row>
    <row r="229" spans="1:15" ht="15.6" x14ac:dyDescent="0.3">
      <c r="A229" s="3">
        <v>228</v>
      </c>
      <c r="B229" s="4" t="s">
        <v>18</v>
      </c>
      <c r="C229" s="5" t="s">
        <v>428</v>
      </c>
      <c r="D229" s="5" t="str">
        <f t="shared" si="4"/>
        <v>LM_ParqueDeLasAguas</v>
      </c>
      <c r="E229" s="7" t="s">
        <v>10</v>
      </c>
      <c r="F229" s="8">
        <v>45957</v>
      </c>
      <c r="G229" s="9" t="s">
        <v>11</v>
      </c>
      <c r="H229" s="7">
        <v>-12.025499999999999</v>
      </c>
      <c r="I229" s="7">
        <v>-76.947699999999998</v>
      </c>
      <c r="J229" s="7" t="s">
        <v>12</v>
      </c>
      <c r="K229" s="7" t="s">
        <v>12</v>
      </c>
      <c r="L229" s="7" t="s">
        <v>207</v>
      </c>
      <c r="M229" s="10" t="s">
        <v>594</v>
      </c>
      <c r="N229" t="s">
        <v>650</v>
      </c>
      <c r="O229" s="10" t="s">
        <v>653</v>
      </c>
    </row>
    <row r="230" spans="1:15" ht="15.6" x14ac:dyDescent="0.3">
      <c r="A230" s="3">
        <v>229</v>
      </c>
      <c r="B230" s="4" t="s">
        <v>18</v>
      </c>
      <c r="C230" s="5" t="s">
        <v>429</v>
      </c>
      <c r="D230" s="5" t="str">
        <f t="shared" si="4"/>
        <v>LA_EstadioMendoza</v>
      </c>
      <c r="E230" s="7" t="s">
        <v>10</v>
      </c>
      <c r="F230" s="8">
        <v>45957</v>
      </c>
      <c r="G230" s="9" t="s">
        <v>11</v>
      </c>
      <c r="H230" s="7">
        <v>-5.9897200000000002</v>
      </c>
      <c r="I230" s="7">
        <v>-79.753600000000006</v>
      </c>
      <c r="J230" s="7" t="s">
        <v>71</v>
      </c>
      <c r="K230" s="7" t="s">
        <v>71</v>
      </c>
      <c r="L230" s="7" t="s">
        <v>184</v>
      </c>
      <c r="M230" s="10" t="s">
        <v>593</v>
      </c>
      <c r="N230" t="s">
        <v>650</v>
      </c>
      <c r="O230" s="10" t="s">
        <v>653</v>
      </c>
    </row>
    <row r="231" spans="1:15" ht="15.6" x14ac:dyDescent="0.3">
      <c r="A231" s="3">
        <v>230</v>
      </c>
      <c r="B231" s="4" t="s">
        <v>18</v>
      </c>
      <c r="C231" s="5" t="s">
        <v>430</v>
      </c>
      <c r="D231" s="5" t="str">
        <f t="shared" si="4"/>
        <v>LI_LosHeraldosDeChuco</v>
      </c>
      <c r="E231" s="7" t="s">
        <v>10</v>
      </c>
      <c r="F231" s="8">
        <v>45957</v>
      </c>
      <c r="G231" s="9" t="s">
        <v>11</v>
      </c>
      <c r="H231" s="7">
        <v>-8.1437600000000003</v>
      </c>
      <c r="I231" s="7">
        <v>-78.177400000000006</v>
      </c>
      <c r="J231" s="7" t="s">
        <v>58</v>
      </c>
      <c r="K231" s="7" t="s">
        <v>431</v>
      </c>
      <c r="L231" s="7" t="s">
        <v>431</v>
      </c>
      <c r="M231" s="10" t="s">
        <v>593</v>
      </c>
      <c r="N231" t="s">
        <v>650</v>
      </c>
      <c r="O231" s="10" t="s">
        <v>653</v>
      </c>
    </row>
    <row r="232" spans="1:15" ht="15.6" x14ac:dyDescent="0.3">
      <c r="A232" s="3">
        <v>231</v>
      </c>
      <c r="B232" s="4" t="s">
        <v>18</v>
      </c>
      <c r="C232" s="5" t="s">
        <v>432</v>
      </c>
      <c r="D232" s="5" t="str">
        <f t="shared" si="4"/>
        <v>AN_MilagrosDelSur</v>
      </c>
      <c r="E232" s="7" t="s">
        <v>10</v>
      </c>
      <c r="F232" s="8">
        <v>45957</v>
      </c>
      <c r="G232" s="9" t="s">
        <v>11</v>
      </c>
      <c r="H232" s="7">
        <v>-9.1387900000000002</v>
      </c>
      <c r="I232" s="7">
        <v>-78.484099999999998</v>
      </c>
      <c r="J232" s="7" t="s">
        <v>122</v>
      </c>
      <c r="K232" s="7" t="s">
        <v>160</v>
      </c>
      <c r="L232" s="7" t="s">
        <v>410</v>
      </c>
      <c r="M232" s="10" t="s">
        <v>593</v>
      </c>
      <c r="N232" t="s">
        <v>652</v>
      </c>
      <c r="O232" s="10" t="s">
        <v>653</v>
      </c>
    </row>
    <row r="233" spans="1:15" ht="15.6" x14ac:dyDescent="0.3">
      <c r="A233" s="3">
        <v>232</v>
      </c>
      <c r="B233" s="4" t="s">
        <v>18</v>
      </c>
      <c r="C233" s="5" t="s">
        <v>433</v>
      </c>
      <c r="D233" s="5" t="str">
        <f t="shared" si="4"/>
        <v>LM_Agreopecuaria</v>
      </c>
      <c r="E233" s="7" t="s">
        <v>10</v>
      </c>
      <c r="F233" s="8">
        <v>45957</v>
      </c>
      <c r="G233" s="9" t="s">
        <v>11</v>
      </c>
      <c r="H233" s="7">
        <v>-12.151899999999999</v>
      </c>
      <c r="I233" s="7">
        <v>-76.900000000000006</v>
      </c>
      <c r="J233" s="7" t="s">
        <v>12</v>
      </c>
      <c r="K233" s="7" t="s">
        <v>12</v>
      </c>
      <c r="L233" s="7" t="s">
        <v>434</v>
      </c>
      <c r="M233" s="10" t="s">
        <v>594</v>
      </c>
      <c r="N233" t="s">
        <v>650</v>
      </c>
      <c r="O233" s="10" t="s">
        <v>653</v>
      </c>
    </row>
    <row r="234" spans="1:15" ht="15.6" x14ac:dyDescent="0.3">
      <c r="A234" s="3">
        <v>233</v>
      </c>
      <c r="B234" s="4" t="s">
        <v>18</v>
      </c>
      <c r="C234" s="5" t="s">
        <v>435</v>
      </c>
      <c r="D234" s="5" t="str">
        <f t="shared" si="4"/>
        <v>IC_ElHaras</v>
      </c>
      <c r="E234" s="7" t="s">
        <v>10</v>
      </c>
      <c r="F234" s="8">
        <v>45958</v>
      </c>
      <c r="G234" s="9" t="s">
        <v>11</v>
      </c>
      <c r="H234" s="7">
        <v>-14.1027</v>
      </c>
      <c r="I234" s="7">
        <v>-75.730199999999996</v>
      </c>
      <c r="J234" s="7" t="s">
        <v>83</v>
      </c>
      <c r="K234" s="7" t="s">
        <v>83</v>
      </c>
      <c r="L234" s="7" t="s">
        <v>83</v>
      </c>
      <c r="M234" s="10" t="s">
        <v>593</v>
      </c>
      <c r="N234" t="s">
        <v>650</v>
      </c>
      <c r="O234" s="10" t="s">
        <v>653</v>
      </c>
    </row>
    <row r="235" spans="1:15" ht="15.6" x14ac:dyDescent="0.3">
      <c r="A235" s="3">
        <v>234</v>
      </c>
      <c r="B235" s="4" t="s">
        <v>260</v>
      </c>
      <c r="C235" s="5" t="s">
        <v>436</v>
      </c>
      <c r="D235" s="5" t="str">
        <f t="shared" si="4"/>
        <v>PN_Samillan</v>
      </c>
      <c r="E235" s="7" t="s">
        <v>10</v>
      </c>
      <c r="F235" s="8">
        <v>45958</v>
      </c>
      <c r="G235" s="9" t="s">
        <v>11</v>
      </c>
      <c r="H235" s="7">
        <v>-15.4445</v>
      </c>
      <c r="I235" s="7">
        <v>-70.096599999999995</v>
      </c>
      <c r="J235" s="7" t="s">
        <v>126</v>
      </c>
      <c r="K235" s="7" t="s">
        <v>128</v>
      </c>
      <c r="L235" s="7" t="s">
        <v>417</v>
      </c>
      <c r="M235" s="10" t="s">
        <v>592</v>
      </c>
      <c r="N235" t="s">
        <v>650</v>
      </c>
      <c r="O235" s="10" t="s">
        <v>653</v>
      </c>
    </row>
    <row r="236" spans="1:15" ht="15.6" x14ac:dyDescent="0.3">
      <c r="A236" s="3">
        <v>235</v>
      </c>
      <c r="B236" s="4" t="s">
        <v>18</v>
      </c>
      <c r="C236" s="5" t="s">
        <v>437</v>
      </c>
      <c r="D236" s="5" t="str">
        <f t="shared" si="4"/>
        <v>AQ_UrbManresa</v>
      </c>
      <c r="E236" s="7" t="s">
        <v>10</v>
      </c>
      <c r="F236" s="8">
        <v>45958</v>
      </c>
      <c r="G236" s="9" t="s">
        <v>11</v>
      </c>
      <c r="H236" s="7">
        <v>-16.424099999999999</v>
      </c>
      <c r="I236" s="7">
        <v>-71.557599999999994</v>
      </c>
      <c r="J236" s="7" t="s">
        <v>20</v>
      </c>
      <c r="K236" s="7" t="s">
        <v>20</v>
      </c>
      <c r="L236" s="7" t="s">
        <v>20</v>
      </c>
      <c r="M236" s="10" t="s">
        <v>592</v>
      </c>
      <c r="N236" t="s">
        <v>650</v>
      </c>
      <c r="O236" s="10" t="s">
        <v>653</v>
      </c>
    </row>
    <row r="237" spans="1:15" ht="15.6" x14ac:dyDescent="0.3">
      <c r="A237" s="3">
        <v>236</v>
      </c>
      <c r="B237" s="4" t="s">
        <v>18</v>
      </c>
      <c r="C237" s="5" t="s">
        <v>438</v>
      </c>
      <c r="D237" s="5" t="str">
        <f t="shared" si="4"/>
        <v>AQ_AduanasArequipa</v>
      </c>
      <c r="E237" s="7" t="s">
        <v>10</v>
      </c>
      <c r="F237" s="8">
        <v>45958</v>
      </c>
      <c r="G237" s="9" t="s">
        <v>11</v>
      </c>
      <c r="H237" s="7">
        <v>-16.343900000000001</v>
      </c>
      <c r="I237" s="7">
        <v>-71.577200000000005</v>
      </c>
      <c r="J237" s="7" t="s">
        <v>20</v>
      </c>
      <c r="K237" s="7" t="s">
        <v>20</v>
      </c>
      <c r="L237" s="7" t="s">
        <v>21</v>
      </c>
      <c r="M237" s="10" t="s">
        <v>592</v>
      </c>
      <c r="N237" t="s">
        <v>651</v>
      </c>
      <c r="O237" s="10" t="s">
        <v>653</v>
      </c>
    </row>
    <row r="238" spans="1:15" ht="15.6" x14ac:dyDescent="0.3">
      <c r="A238" s="3">
        <v>237</v>
      </c>
      <c r="B238" s="4" t="s">
        <v>18</v>
      </c>
      <c r="C238" s="5" t="s">
        <v>439</v>
      </c>
      <c r="D238" s="5" t="str">
        <f t="shared" si="4"/>
        <v>LM_CientificosJicamarca</v>
      </c>
      <c r="E238" s="7" t="s">
        <v>10</v>
      </c>
      <c r="F238" s="8">
        <v>45959</v>
      </c>
      <c r="G238" s="9" t="s">
        <v>11</v>
      </c>
      <c r="H238" s="7">
        <v>-11.963200000000001</v>
      </c>
      <c r="I238" s="7">
        <v>-76.934700000000007</v>
      </c>
      <c r="J238" s="7" t="s">
        <v>12</v>
      </c>
      <c r="K238" s="7" t="s">
        <v>12</v>
      </c>
      <c r="L238" s="7" t="s">
        <v>67</v>
      </c>
      <c r="M238" s="10" t="s">
        <v>594</v>
      </c>
      <c r="N238" t="s">
        <v>650</v>
      </c>
      <c r="O238" s="10" t="s">
        <v>653</v>
      </c>
    </row>
    <row r="239" spans="1:15" ht="15.6" x14ac:dyDescent="0.3">
      <c r="A239" s="3">
        <v>238</v>
      </c>
      <c r="B239" s="4" t="s">
        <v>18</v>
      </c>
      <c r="C239" s="5" t="s">
        <v>440</v>
      </c>
      <c r="D239" s="5" t="str">
        <f t="shared" si="4"/>
        <v>LM_NuevaGales</v>
      </c>
      <c r="E239" s="7" t="s">
        <v>10</v>
      </c>
      <c r="F239" s="8">
        <v>45959</v>
      </c>
      <c r="G239" s="9" t="s">
        <v>11</v>
      </c>
      <c r="H239" s="7">
        <v>-12.0862</v>
      </c>
      <c r="I239" s="7">
        <v>-76.879800000000003</v>
      </c>
      <c r="J239" s="7" t="s">
        <v>12</v>
      </c>
      <c r="K239" s="7" t="s">
        <v>12</v>
      </c>
      <c r="L239" s="7" t="s">
        <v>142</v>
      </c>
      <c r="M239" s="10" t="s">
        <v>594</v>
      </c>
      <c r="N239" t="s">
        <v>650</v>
      </c>
      <c r="O239" s="10" t="s">
        <v>653</v>
      </c>
    </row>
    <row r="240" spans="1:15" ht="15.6" x14ac:dyDescent="0.3">
      <c r="A240" s="3">
        <v>239</v>
      </c>
      <c r="B240" s="4" t="s">
        <v>18</v>
      </c>
      <c r="C240" s="5" t="s">
        <v>441</v>
      </c>
      <c r="D240" s="5" t="str">
        <f t="shared" si="4"/>
        <v>PI_PuntaVeleros</v>
      </c>
      <c r="E240" s="7" t="s">
        <v>10</v>
      </c>
      <c r="F240" s="8">
        <v>45959</v>
      </c>
      <c r="G240" s="9" t="s">
        <v>11</v>
      </c>
      <c r="H240" s="7">
        <v>-4.1861499999999996</v>
      </c>
      <c r="I240" s="7">
        <v>-81.137100000000004</v>
      </c>
      <c r="J240" s="7" t="s">
        <v>53</v>
      </c>
      <c r="K240" s="7" t="s">
        <v>234</v>
      </c>
      <c r="L240" s="7" t="s">
        <v>442</v>
      </c>
      <c r="M240" s="10" t="s">
        <v>593</v>
      </c>
      <c r="N240" t="s">
        <v>650</v>
      </c>
      <c r="O240" s="10" t="s">
        <v>653</v>
      </c>
    </row>
    <row r="241" spans="1:15" ht="15.6" x14ac:dyDescent="0.3">
      <c r="A241" s="3">
        <v>240</v>
      </c>
      <c r="B241" s="4" t="s">
        <v>18</v>
      </c>
      <c r="C241" s="5" t="s">
        <v>443</v>
      </c>
      <c r="D241" s="5" t="str">
        <f t="shared" si="4"/>
        <v>AQ_PrimeroDeJunio</v>
      </c>
      <c r="E241" s="7" t="s">
        <v>10</v>
      </c>
      <c r="F241" s="8">
        <v>45959</v>
      </c>
      <c r="G241" s="9" t="s">
        <v>11</v>
      </c>
      <c r="H241" s="7">
        <v>-16.3231</v>
      </c>
      <c r="I241" s="7">
        <v>-71.539199999999994</v>
      </c>
      <c r="J241" s="7" t="s">
        <v>20</v>
      </c>
      <c r="K241" s="7" t="s">
        <v>20</v>
      </c>
      <c r="L241" s="7" t="s">
        <v>214</v>
      </c>
      <c r="M241" s="10" t="s">
        <v>592</v>
      </c>
      <c r="N241" t="s">
        <v>651</v>
      </c>
      <c r="O241" s="10" t="s">
        <v>653</v>
      </c>
    </row>
    <row r="242" spans="1:15" ht="15.6" x14ac:dyDescent="0.3">
      <c r="A242" s="3">
        <v>241</v>
      </c>
      <c r="B242" s="4" t="s">
        <v>18</v>
      </c>
      <c r="C242" s="5" t="s">
        <v>444</v>
      </c>
      <c r="D242" s="5" t="str">
        <f t="shared" si="4"/>
        <v>LA_Chagui</v>
      </c>
      <c r="E242" s="7" t="s">
        <v>10</v>
      </c>
      <c r="F242" s="8">
        <v>45959</v>
      </c>
      <c r="G242" s="9" t="s">
        <v>11</v>
      </c>
      <c r="H242" s="7">
        <v>-6.7396700000000003</v>
      </c>
      <c r="I242" s="7">
        <v>-79.858999999999995</v>
      </c>
      <c r="J242" s="7" t="s">
        <v>71</v>
      </c>
      <c r="K242" s="7" t="s">
        <v>72</v>
      </c>
      <c r="L242" s="7" t="s">
        <v>445</v>
      </c>
      <c r="M242" s="10" t="s">
        <v>593</v>
      </c>
      <c r="N242" t="s">
        <v>650</v>
      </c>
      <c r="O242" s="10" t="s">
        <v>653</v>
      </c>
    </row>
    <row r="243" spans="1:15" ht="15.6" x14ac:dyDescent="0.3">
      <c r="A243" s="3">
        <v>242</v>
      </c>
      <c r="B243" s="4" t="s">
        <v>18</v>
      </c>
      <c r="C243" s="5" t="s">
        <v>446</v>
      </c>
      <c r="D243" s="5" t="str">
        <f t="shared" si="4"/>
        <v>LA_TucumeViejo</v>
      </c>
      <c r="E243" s="7" t="s">
        <v>10</v>
      </c>
      <c r="F243" s="8">
        <v>45960</v>
      </c>
      <c r="G243" s="9" t="s">
        <v>11</v>
      </c>
      <c r="H243" s="7">
        <v>-6.4993800000000004</v>
      </c>
      <c r="I243" s="7">
        <v>-79.857200000000006</v>
      </c>
      <c r="J243" s="7" t="s">
        <v>71</v>
      </c>
      <c r="K243" s="7" t="s">
        <v>71</v>
      </c>
      <c r="L243" s="7" t="s">
        <v>447</v>
      </c>
      <c r="M243" s="10" t="s">
        <v>593</v>
      </c>
      <c r="N243" t="s">
        <v>650</v>
      </c>
      <c r="O243" s="10" t="s">
        <v>653</v>
      </c>
    </row>
    <row r="244" spans="1:15" ht="15.6" x14ac:dyDescent="0.3">
      <c r="A244" s="3">
        <v>243</v>
      </c>
      <c r="B244" s="4" t="s">
        <v>18</v>
      </c>
      <c r="C244" s="5" t="s">
        <v>448</v>
      </c>
      <c r="D244" s="5" t="str">
        <f t="shared" si="4"/>
        <v>CS_Llaullipuquio</v>
      </c>
      <c r="E244" s="7" t="s">
        <v>10</v>
      </c>
      <c r="F244" s="8">
        <v>45964</v>
      </c>
      <c r="G244" s="9" t="s">
        <v>11</v>
      </c>
      <c r="H244" s="7">
        <v>-13.5098</v>
      </c>
      <c r="I244" s="7">
        <v>-71.963399999999993</v>
      </c>
      <c r="J244" s="7" t="s">
        <v>26</v>
      </c>
      <c r="K244" s="7" t="s">
        <v>26</v>
      </c>
      <c r="L244" s="7" t="s">
        <v>26</v>
      </c>
      <c r="M244" s="10" t="s">
        <v>592</v>
      </c>
      <c r="N244" t="s">
        <v>651</v>
      </c>
      <c r="O244" s="10" t="s">
        <v>653</v>
      </c>
    </row>
    <row r="245" spans="1:15" ht="15.6" x14ac:dyDescent="0.3">
      <c r="A245" s="3">
        <v>244</v>
      </c>
      <c r="B245" s="4" t="s">
        <v>260</v>
      </c>
      <c r="C245" s="5" t="s">
        <v>449</v>
      </c>
      <c r="D245" s="5" t="str">
        <f t="shared" si="4"/>
        <v>CA_AhijaderoDeLaCamaca</v>
      </c>
      <c r="E245" s="7" t="s">
        <v>10</v>
      </c>
      <c r="F245" s="8">
        <v>45964</v>
      </c>
      <c r="G245" s="9" t="s">
        <v>11</v>
      </c>
      <c r="H245" s="7">
        <v>-6.6468100000000003</v>
      </c>
      <c r="I245" s="7">
        <v>-78.513900000000007</v>
      </c>
      <c r="J245" s="7" t="s">
        <v>81</v>
      </c>
      <c r="K245" s="7" t="s">
        <v>450</v>
      </c>
      <c r="L245" s="7" t="s">
        <v>451</v>
      </c>
      <c r="M245" s="10" t="s">
        <v>592</v>
      </c>
      <c r="N245" t="s">
        <v>650</v>
      </c>
      <c r="O245" s="10" t="s">
        <v>653</v>
      </c>
    </row>
    <row r="246" spans="1:15" ht="15.6" x14ac:dyDescent="0.3">
      <c r="A246" s="3">
        <v>245</v>
      </c>
      <c r="B246" s="4" t="s">
        <v>18</v>
      </c>
      <c r="C246" s="5" t="s">
        <v>452</v>
      </c>
      <c r="D246" s="5" t="str">
        <f t="shared" si="4"/>
        <v>AQ_FundoLaTejada</v>
      </c>
      <c r="E246" s="7" t="s">
        <v>10</v>
      </c>
      <c r="F246" s="8">
        <v>45964</v>
      </c>
      <c r="G246" s="9" t="s">
        <v>11</v>
      </c>
      <c r="H246" s="7">
        <v>-16.372</v>
      </c>
      <c r="I246" s="7">
        <v>-71.553700000000006</v>
      </c>
      <c r="J246" s="7" t="s">
        <v>20</v>
      </c>
      <c r="K246" s="7" t="s">
        <v>20</v>
      </c>
      <c r="L246" s="7" t="s">
        <v>21</v>
      </c>
      <c r="M246" s="10" t="s">
        <v>592</v>
      </c>
      <c r="N246" t="s">
        <v>650</v>
      </c>
      <c r="O246" s="10" t="s">
        <v>653</v>
      </c>
    </row>
    <row r="247" spans="1:15" ht="15.6" x14ac:dyDescent="0.3">
      <c r="A247" s="3">
        <v>246</v>
      </c>
      <c r="B247" s="4" t="s">
        <v>18</v>
      </c>
      <c r="C247" s="5" t="s">
        <v>453</v>
      </c>
      <c r="D247" s="5" t="str">
        <f t="shared" si="4"/>
        <v>LM_EstrellaCieneguilla</v>
      </c>
      <c r="E247" s="7" t="s">
        <v>10</v>
      </c>
      <c r="F247" s="8">
        <v>45964</v>
      </c>
      <c r="G247" s="9" t="s">
        <v>11</v>
      </c>
      <c r="H247" s="7">
        <v>-12.089600000000001</v>
      </c>
      <c r="I247" s="7">
        <v>-76.853800000000007</v>
      </c>
      <c r="J247" s="7" t="s">
        <v>12</v>
      </c>
      <c r="K247" s="7" t="s">
        <v>12</v>
      </c>
      <c r="L247" s="7" t="s">
        <v>454</v>
      </c>
      <c r="M247" s="10" t="s">
        <v>594</v>
      </c>
      <c r="N247" t="s">
        <v>650</v>
      </c>
      <c r="O247" s="10" t="s">
        <v>653</v>
      </c>
    </row>
    <row r="248" spans="1:15" ht="15.6" x14ac:dyDescent="0.3">
      <c r="A248" s="3">
        <v>247</v>
      </c>
      <c r="B248" s="4" t="s">
        <v>18</v>
      </c>
      <c r="C248" s="5" t="s">
        <v>455</v>
      </c>
      <c r="D248" s="5" t="str">
        <f t="shared" si="4"/>
        <v>LA_VillaHorizonte</v>
      </c>
      <c r="E248" s="7" t="s">
        <v>10</v>
      </c>
      <c r="F248" s="8">
        <v>45964</v>
      </c>
      <c r="G248" s="9" t="s">
        <v>11</v>
      </c>
      <c r="H248" s="7">
        <v>-6.8068</v>
      </c>
      <c r="I248" s="7">
        <v>-79.846900000000005</v>
      </c>
      <c r="J248" s="7" t="s">
        <v>71</v>
      </c>
      <c r="K248" s="7" t="s">
        <v>72</v>
      </c>
      <c r="L248" s="7" t="s">
        <v>456</v>
      </c>
      <c r="M248" s="10" t="s">
        <v>593</v>
      </c>
      <c r="N248" t="s">
        <v>650</v>
      </c>
      <c r="O248" s="10" t="s">
        <v>653</v>
      </c>
    </row>
    <row r="249" spans="1:15" ht="15.6" x14ac:dyDescent="0.3">
      <c r="A249" s="3">
        <v>248</v>
      </c>
      <c r="B249" s="4" t="s">
        <v>18</v>
      </c>
      <c r="C249" s="5" t="s">
        <v>457</v>
      </c>
      <c r="D249" s="5" t="str">
        <f t="shared" si="4"/>
        <v>LI_PuenteVeneno</v>
      </c>
      <c r="E249" s="7" t="s">
        <v>10</v>
      </c>
      <c r="F249" s="8">
        <v>45964</v>
      </c>
      <c r="G249" s="9" t="s">
        <v>11</v>
      </c>
      <c r="H249" s="7">
        <v>-8.1248500000000003</v>
      </c>
      <c r="I249" s="7">
        <v>-78.943799999999996</v>
      </c>
      <c r="J249" s="7" t="s">
        <v>58</v>
      </c>
      <c r="K249" s="7" t="s">
        <v>138</v>
      </c>
      <c r="L249" s="7" t="s">
        <v>373</v>
      </c>
      <c r="M249" s="10" t="s">
        <v>593</v>
      </c>
      <c r="N249" t="s">
        <v>649</v>
      </c>
      <c r="O249" s="10" t="s">
        <v>653</v>
      </c>
    </row>
    <row r="250" spans="1:15" ht="15.6" x14ac:dyDescent="0.3">
      <c r="A250" s="3">
        <v>249</v>
      </c>
      <c r="B250" s="4" t="s">
        <v>18</v>
      </c>
      <c r="C250" s="5" t="s">
        <v>458</v>
      </c>
      <c r="D250" s="5" t="str">
        <f t="shared" si="4"/>
        <v>AN_DivinoMaestro</v>
      </c>
      <c r="E250" s="7" t="s">
        <v>10</v>
      </c>
      <c r="F250" s="8">
        <v>45965</v>
      </c>
      <c r="G250" s="9" t="s">
        <v>11</v>
      </c>
      <c r="H250" s="7">
        <v>-9.0540000000000003</v>
      </c>
      <c r="I250" s="7">
        <v>-78.584000000000003</v>
      </c>
      <c r="J250" s="7" t="s">
        <v>122</v>
      </c>
      <c r="K250" s="7" t="s">
        <v>160</v>
      </c>
      <c r="L250" s="7" t="s">
        <v>161</v>
      </c>
      <c r="M250" s="10" t="s">
        <v>593</v>
      </c>
      <c r="N250" t="s">
        <v>650</v>
      </c>
      <c r="O250" s="10" t="s">
        <v>653</v>
      </c>
    </row>
    <row r="251" spans="1:15" ht="15.6" x14ac:dyDescent="0.3">
      <c r="A251" s="3">
        <v>250</v>
      </c>
      <c r="B251" s="4" t="s">
        <v>18</v>
      </c>
      <c r="C251" s="5" t="s">
        <v>459</v>
      </c>
      <c r="D251" s="5" t="str">
        <f t="shared" si="4"/>
        <v>LM_NuevaGeneracionSjl</v>
      </c>
      <c r="E251" s="7" t="s">
        <v>10</v>
      </c>
      <c r="F251" s="8">
        <v>45965</v>
      </c>
      <c r="G251" s="9" t="s">
        <v>11</v>
      </c>
      <c r="H251" s="7">
        <v>-11.9268</v>
      </c>
      <c r="I251" s="7">
        <v>-76.984099999999998</v>
      </c>
      <c r="J251" s="7" t="s">
        <v>12</v>
      </c>
      <c r="K251" s="7" t="s">
        <v>12</v>
      </c>
      <c r="L251" s="7" t="s">
        <v>222</v>
      </c>
      <c r="M251" s="10" t="s">
        <v>594</v>
      </c>
      <c r="N251" t="s">
        <v>652</v>
      </c>
      <c r="O251" s="10" t="s">
        <v>653</v>
      </c>
    </row>
    <row r="252" spans="1:15" ht="15.6" x14ac:dyDescent="0.3">
      <c r="A252" s="3">
        <v>251</v>
      </c>
      <c r="B252" s="4" t="s">
        <v>18</v>
      </c>
      <c r="C252" s="5" t="s">
        <v>460</v>
      </c>
      <c r="D252" s="5" t="str">
        <f t="shared" si="4"/>
        <v>PI_JardinesDeCastilla</v>
      </c>
      <c r="E252" s="7" t="s">
        <v>10</v>
      </c>
      <c r="F252" s="8">
        <v>45965</v>
      </c>
      <c r="G252" s="9" t="s">
        <v>11</v>
      </c>
      <c r="H252" s="7">
        <v>-5.20322</v>
      </c>
      <c r="I252" s="7">
        <v>-80.593100000000007</v>
      </c>
      <c r="J252" s="7" t="s">
        <v>53</v>
      </c>
      <c r="K252" s="7" t="s">
        <v>53</v>
      </c>
      <c r="L252" s="7" t="s">
        <v>61</v>
      </c>
      <c r="M252" s="10" t="s">
        <v>593</v>
      </c>
      <c r="N252" t="s">
        <v>650</v>
      </c>
      <c r="O252" s="10" t="s">
        <v>653</v>
      </c>
    </row>
    <row r="253" spans="1:15" ht="15.6" x14ac:dyDescent="0.3">
      <c r="A253" s="3">
        <v>252</v>
      </c>
      <c r="B253" s="4" t="s">
        <v>18</v>
      </c>
      <c r="C253" s="5" t="s">
        <v>461</v>
      </c>
      <c r="D253" s="5" t="str">
        <f t="shared" si="4"/>
        <v>LM_HeroesDeLaGuerra</v>
      </c>
      <c r="E253" s="7" t="s">
        <v>10</v>
      </c>
      <c r="F253" s="8">
        <v>45965</v>
      </c>
      <c r="G253" s="9" t="s">
        <v>11</v>
      </c>
      <c r="H253" s="7">
        <v>-11.862299999999999</v>
      </c>
      <c r="I253" s="7">
        <v>-77.111900000000006</v>
      </c>
      <c r="J253" s="7" t="s">
        <v>12</v>
      </c>
      <c r="K253" s="7" t="s">
        <v>368</v>
      </c>
      <c r="L253" s="7" t="s">
        <v>462</v>
      </c>
      <c r="M253" s="10" t="s">
        <v>594</v>
      </c>
      <c r="N253" t="s">
        <v>650</v>
      </c>
      <c r="O253" s="10" t="s">
        <v>653</v>
      </c>
    </row>
    <row r="254" spans="1:15" ht="15.6" x14ac:dyDescent="0.3">
      <c r="A254" s="3">
        <v>253</v>
      </c>
      <c r="B254" s="4" t="s">
        <v>18</v>
      </c>
      <c r="C254" s="5" t="s">
        <v>463</v>
      </c>
      <c r="D254" s="5" t="str">
        <f t="shared" si="4"/>
        <v>AN_PuenteCarrizal</v>
      </c>
      <c r="E254" s="7" t="s">
        <v>10</v>
      </c>
      <c r="F254" s="8">
        <v>45965</v>
      </c>
      <c r="G254" s="9" t="s">
        <v>11</v>
      </c>
      <c r="H254" s="7">
        <v>-9.4862900000000003</v>
      </c>
      <c r="I254" s="7">
        <v>-78.275899999999993</v>
      </c>
      <c r="J254" s="7" t="s">
        <v>122</v>
      </c>
      <c r="K254" s="7" t="s">
        <v>343</v>
      </c>
      <c r="L254" s="7" t="s">
        <v>343</v>
      </c>
      <c r="M254" s="10" t="s">
        <v>593</v>
      </c>
      <c r="N254" t="s">
        <v>650</v>
      </c>
      <c r="O254" s="10" t="s">
        <v>653</v>
      </c>
    </row>
    <row r="255" spans="1:15" ht="15.6" x14ac:dyDescent="0.3">
      <c r="A255" s="3">
        <v>254</v>
      </c>
      <c r="B255" s="4" t="s">
        <v>18</v>
      </c>
      <c r="C255" s="5" t="s">
        <v>464</v>
      </c>
      <c r="D255" s="5" t="str">
        <f t="shared" si="4"/>
        <v>LI_ClubDeportivoAsp</v>
      </c>
      <c r="E255" s="7" t="s">
        <v>10</v>
      </c>
      <c r="F255" s="8">
        <v>45965</v>
      </c>
      <c r="G255" s="9" t="s">
        <v>11</v>
      </c>
      <c r="H255" s="7">
        <v>-8.0909099999999992</v>
      </c>
      <c r="I255" s="7">
        <v>-79.046899999999994</v>
      </c>
      <c r="J255" s="7" t="s">
        <v>58</v>
      </c>
      <c r="K255" s="7" t="s">
        <v>138</v>
      </c>
      <c r="L255" s="7" t="s">
        <v>138</v>
      </c>
      <c r="M255" s="10" t="s">
        <v>593</v>
      </c>
      <c r="N255" t="s">
        <v>650</v>
      </c>
      <c r="O255" s="10" t="s">
        <v>653</v>
      </c>
    </row>
    <row r="256" spans="1:15" ht="15.6" x14ac:dyDescent="0.3">
      <c r="A256" s="3">
        <v>255</v>
      </c>
      <c r="B256" s="4" t="s">
        <v>18</v>
      </c>
      <c r="C256" s="5" t="s">
        <v>465</v>
      </c>
      <c r="D256" s="5" t="str">
        <f t="shared" si="4"/>
        <v>LM_LaFloridaDeMargareth</v>
      </c>
      <c r="E256" s="7" t="s">
        <v>10</v>
      </c>
      <c r="F256" s="8">
        <v>45965</v>
      </c>
      <c r="G256" s="9" t="s">
        <v>11</v>
      </c>
      <c r="H256" s="7">
        <v>-11.4321</v>
      </c>
      <c r="I256" s="7">
        <v>-77.184200000000004</v>
      </c>
      <c r="J256" s="7" t="s">
        <v>12</v>
      </c>
      <c r="K256" s="7" t="s">
        <v>13</v>
      </c>
      <c r="L256" s="7" t="s">
        <v>13</v>
      </c>
      <c r="M256" s="10" t="s">
        <v>594</v>
      </c>
      <c r="N256" t="s">
        <v>650</v>
      </c>
      <c r="O256" s="10" t="s">
        <v>653</v>
      </c>
    </row>
    <row r="257" spans="1:15" ht="15.6" x14ac:dyDescent="0.3">
      <c r="A257" s="3">
        <v>256</v>
      </c>
      <c r="B257" s="4" t="s">
        <v>18</v>
      </c>
      <c r="C257" s="5" t="s">
        <v>466</v>
      </c>
      <c r="D257" s="5" t="str">
        <f t="shared" si="4"/>
        <v>LA_Anunciata</v>
      </c>
      <c r="E257" s="7" t="s">
        <v>10</v>
      </c>
      <c r="F257" s="8">
        <v>45965</v>
      </c>
      <c r="G257" s="9" t="s">
        <v>11</v>
      </c>
      <c r="H257" s="7">
        <v>-6.74221</v>
      </c>
      <c r="I257" s="7">
        <v>-79.834199999999996</v>
      </c>
      <c r="J257" s="7" t="s">
        <v>71</v>
      </c>
      <c r="K257" s="7" t="s">
        <v>72</v>
      </c>
      <c r="L257" s="7" t="s">
        <v>445</v>
      </c>
      <c r="M257" s="10" t="s">
        <v>593</v>
      </c>
      <c r="N257" t="s">
        <v>650</v>
      </c>
      <c r="O257" s="10" t="s">
        <v>653</v>
      </c>
    </row>
    <row r="258" spans="1:15" ht="15.6" x14ac:dyDescent="0.3">
      <c r="A258" s="3">
        <v>257</v>
      </c>
      <c r="B258" s="4" t="s">
        <v>18</v>
      </c>
      <c r="C258" s="5" t="s">
        <v>467</v>
      </c>
      <c r="D258" s="5" t="str">
        <f t="shared" si="4"/>
        <v>JU_VeneciaDelTambo</v>
      </c>
      <c r="E258" s="7" t="s">
        <v>10</v>
      </c>
      <c r="F258" s="8">
        <v>45965</v>
      </c>
      <c r="G258" s="9" t="s">
        <v>11</v>
      </c>
      <c r="H258" s="7">
        <v>-12.045199999999999</v>
      </c>
      <c r="I258" s="7">
        <v>-75.206900000000005</v>
      </c>
      <c r="J258" s="7" t="s">
        <v>23</v>
      </c>
      <c r="K258" s="7" t="s">
        <v>24</v>
      </c>
      <c r="L258" s="7" t="s">
        <v>468</v>
      </c>
      <c r="M258" s="10" t="s">
        <v>593</v>
      </c>
      <c r="N258" t="s">
        <v>650</v>
      </c>
      <c r="O258" s="10" t="s">
        <v>653</v>
      </c>
    </row>
    <row r="259" spans="1:15" ht="15.6" x14ac:dyDescent="0.3">
      <c r="A259" s="3">
        <v>258</v>
      </c>
      <c r="B259" s="4" t="s">
        <v>18</v>
      </c>
      <c r="C259" s="5" t="s">
        <v>469</v>
      </c>
      <c r="D259" s="5" t="str">
        <f t="shared" si="4"/>
        <v>AN_AquaSanPedro</v>
      </c>
      <c r="E259" s="7" t="s">
        <v>10</v>
      </c>
      <c r="F259" s="8">
        <v>45965</v>
      </c>
      <c r="G259" s="9" t="s">
        <v>11</v>
      </c>
      <c r="H259" s="7">
        <v>-9.0412099999999995</v>
      </c>
      <c r="I259" s="7">
        <v>-78.563800000000001</v>
      </c>
      <c r="J259" s="7" t="s">
        <v>122</v>
      </c>
      <c r="K259" s="7" t="s">
        <v>160</v>
      </c>
      <c r="L259" s="7" t="s">
        <v>161</v>
      </c>
      <c r="M259" s="10" t="s">
        <v>593</v>
      </c>
      <c r="N259" t="s">
        <v>650</v>
      </c>
      <c r="O259" s="10" t="s">
        <v>653</v>
      </c>
    </row>
    <row r="260" spans="1:15" ht="15.6" x14ac:dyDescent="0.3">
      <c r="A260" s="3">
        <v>259</v>
      </c>
      <c r="B260" s="4" t="s">
        <v>18</v>
      </c>
      <c r="C260" s="5" t="s">
        <v>470</v>
      </c>
      <c r="D260" s="5" t="str">
        <f t="shared" si="4"/>
        <v>LM_NinoDePampachica</v>
      </c>
      <c r="E260" s="7" t="s">
        <v>10</v>
      </c>
      <c r="F260" s="8">
        <v>45965</v>
      </c>
      <c r="G260" s="9" t="s">
        <v>11</v>
      </c>
      <c r="H260" s="7">
        <v>-12.1683</v>
      </c>
      <c r="I260" s="7">
        <v>-76.865099999999998</v>
      </c>
      <c r="J260" s="7" t="s">
        <v>12</v>
      </c>
      <c r="K260" s="7" t="s">
        <v>12</v>
      </c>
      <c r="L260" s="7" t="s">
        <v>142</v>
      </c>
      <c r="M260" s="10" t="s">
        <v>594</v>
      </c>
      <c r="N260" t="s">
        <v>650</v>
      </c>
      <c r="O260" s="10" t="s">
        <v>653</v>
      </c>
    </row>
    <row r="261" spans="1:15" ht="15.6" x14ac:dyDescent="0.3">
      <c r="A261" s="3">
        <v>260</v>
      </c>
      <c r="B261" s="4" t="s">
        <v>18</v>
      </c>
      <c r="C261" s="5" t="s">
        <v>471</v>
      </c>
      <c r="D261" s="5" t="str">
        <f t="shared" si="4"/>
        <v>AN_Canyasbamba</v>
      </c>
      <c r="E261" s="7" t="s">
        <v>10</v>
      </c>
      <c r="F261" s="8">
        <v>45966</v>
      </c>
      <c r="G261" s="9" t="s">
        <v>11</v>
      </c>
      <c r="H261" s="7">
        <v>-9.0908899999999999</v>
      </c>
      <c r="I261" s="7">
        <v>-77.767700000000005</v>
      </c>
      <c r="J261" s="7" t="s">
        <v>122</v>
      </c>
      <c r="K261" s="7" t="s">
        <v>392</v>
      </c>
      <c r="L261" s="7" t="s">
        <v>392</v>
      </c>
      <c r="M261" s="10" t="s">
        <v>593</v>
      </c>
      <c r="N261" t="s">
        <v>650</v>
      </c>
      <c r="O261" s="10" t="s">
        <v>653</v>
      </c>
    </row>
    <row r="262" spans="1:15" ht="15.6" x14ac:dyDescent="0.3">
      <c r="A262" s="3">
        <v>261</v>
      </c>
      <c r="B262" s="4" t="s">
        <v>18</v>
      </c>
      <c r="C262" s="5" t="s">
        <v>472</v>
      </c>
      <c r="D262" s="5" t="str">
        <f t="shared" si="4"/>
        <v>JU_Patarcocha</v>
      </c>
      <c r="E262" s="7" t="s">
        <v>10</v>
      </c>
      <c r="F262" s="8">
        <v>45966</v>
      </c>
      <c r="G262" s="9" t="s">
        <v>11</v>
      </c>
      <c r="H262" s="7">
        <v>-12.1052</v>
      </c>
      <c r="I262" s="7">
        <v>-75.3</v>
      </c>
      <c r="J262" s="7" t="s">
        <v>23</v>
      </c>
      <c r="K262" s="7" t="s">
        <v>94</v>
      </c>
      <c r="L262" s="7" t="s">
        <v>473</v>
      </c>
      <c r="M262" s="10" t="s">
        <v>593</v>
      </c>
      <c r="N262" t="s">
        <v>650</v>
      </c>
      <c r="O262" s="10" t="s">
        <v>654</v>
      </c>
    </row>
    <row r="263" spans="1:15" ht="15.6" x14ac:dyDescent="0.3">
      <c r="A263" s="3">
        <v>262</v>
      </c>
      <c r="B263" s="4" t="s">
        <v>260</v>
      </c>
      <c r="C263" s="5" t="s">
        <v>474</v>
      </c>
      <c r="D263" s="5" t="str">
        <f t="shared" si="4"/>
        <v>LM_MaestroDelNaranjal</v>
      </c>
      <c r="E263" s="7" t="s">
        <v>10</v>
      </c>
      <c r="F263" s="8">
        <v>45966</v>
      </c>
      <c r="G263" s="9" t="s">
        <v>11</v>
      </c>
      <c r="H263" s="7">
        <v>-11.9771</v>
      </c>
      <c r="I263" s="7">
        <v>-77.065200000000004</v>
      </c>
      <c r="J263" s="7" t="s">
        <v>12</v>
      </c>
      <c r="K263" s="7" t="s">
        <v>12</v>
      </c>
      <c r="L263" s="7" t="s">
        <v>475</v>
      </c>
      <c r="M263" s="10" t="s">
        <v>594</v>
      </c>
      <c r="N263" t="s">
        <v>650</v>
      </c>
      <c r="O263" s="10" t="s">
        <v>653</v>
      </c>
    </row>
    <row r="264" spans="1:15" ht="15.6" x14ac:dyDescent="0.3">
      <c r="A264" s="3">
        <v>263</v>
      </c>
      <c r="B264" s="4" t="s">
        <v>18</v>
      </c>
      <c r="C264" s="5" t="s">
        <v>476</v>
      </c>
      <c r="D264" s="5" t="str">
        <f t="shared" si="4"/>
        <v>LA_Bunga</v>
      </c>
      <c r="E264" s="7" t="s">
        <v>10</v>
      </c>
      <c r="F264" s="8">
        <v>45966</v>
      </c>
      <c r="G264" s="9" t="s">
        <v>11</v>
      </c>
      <c r="H264" s="7">
        <v>-6.6979800000000003</v>
      </c>
      <c r="I264" s="7">
        <v>-79.894499999999994</v>
      </c>
      <c r="J264" s="7" t="s">
        <v>71</v>
      </c>
      <c r="K264" s="7" t="s">
        <v>71</v>
      </c>
      <c r="L264" s="7" t="s">
        <v>71</v>
      </c>
      <c r="M264" s="10" t="s">
        <v>593</v>
      </c>
      <c r="N264" t="s">
        <v>650</v>
      </c>
      <c r="O264" s="10" t="s">
        <v>653</v>
      </c>
    </row>
    <row r="265" spans="1:15" ht="15.6" x14ac:dyDescent="0.3">
      <c r="A265" s="3">
        <v>264</v>
      </c>
      <c r="B265" s="4" t="s">
        <v>18</v>
      </c>
      <c r="C265" s="5" t="s">
        <v>477</v>
      </c>
      <c r="D265" s="5" t="str">
        <f t="shared" ref="D265:D328" si="5">+RIGHT(C265,LEN(C265)-10)</f>
        <v>LI_Laredo</v>
      </c>
      <c r="E265" s="7" t="s">
        <v>10</v>
      </c>
      <c r="F265" s="8">
        <v>45966</v>
      </c>
      <c r="G265" s="9" t="s">
        <v>11</v>
      </c>
      <c r="H265" s="7">
        <v>-8.0640499999999999</v>
      </c>
      <c r="I265" s="7">
        <v>-78.980199999999996</v>
      </c>
      <c r="J265" s="7" t="s">
        <v>58</v>
      </c>
      <c r="K265" s="7" t="s">
        <v>138</v>
      </c>
      <c r="L265" s="7" t="s">
        <v>373</v>
      </c>
      <c r="M265" s="10" t="s">
        <v>593</v>
      </c>
      <c r="N265" t="s">
        <v>650</v>
      </c>
      <c r="O265" s="10" t="s">
        <v>653</v>
      </c>
    </row>
    <row r="266" spans="1:15" ht="15.6" x14ac:dyDescent="0.3">
      <c r="A266" s="3">
        <v>265</v>
      </c>
      <c r="B266" s="4" t="s">
        <v>18</v>
      </c>
      <c r="C266" s="5" t="s">
        <v>478</v>
      </c>
      <c r="D266" s="5" t="str">
        <f t="shared" si="5"/>
        <v>LI_SantaLuciaDeLLoc</v>
      </c>
      <c r="E266" s="7" t="s">
        <v>10</v>
      </c>
      <c r="F266" s="8">
        <v>45966</v>
      </c>
      <c r="G266" s="9" t="s">
        <v>11</v>
      </c>
      <c r="H266" s="7">
        <v>-7.4171399999999998</v>
      </c>
      <c r="I266" s="7">
        <v>-79.514200000000002</v>
      </c>
      <c r="J266" s="7" t="s">
        <v>58</v>
      </c>
      <c r="K266" s="7" t="s">
        <v>365</v>
      </c>
      <c r="L266" s="7" t="s">
        <v>479</v>
      </c>
      <c r="M266" s="10" t="s">
        <v>593</v>
      </c>
      <c r="N266" t="s">
        <v>650</v>
      </c>
      <c r="O266" s="10" t="s">
        <v>653</v>
      </c>
    </row>
    <row r="267" spans="1:15" ht="15.6" x14ac:dyDescent="0.3">
      <c r="A267" s="3">
        <v>266</v>
      </c>
      <c r="B267" s="4" t="s">
        <v>18</v>
      </c>
      <c r="C267" s="5" t="s">
        <v>480</v>
      </c>
      <c r="D267" s="5" t="str">
        <f t="shared" si="5"/>
        <v>AQ_LasEsmeraldas</v>
      </c>
      <c r="E267" s="7" t="s">
        <v>10</v>
      </c>
      <c r="F267" s="8">
        <v>45966</v>
      </c>
      <c r="G267" s="9" t="s">
        <v>11</v>
      </c>
      <c r="H267" s="7">
        <v>-16.4527</v>
      </c>
      <c r="I267" s="7">
        <v>-71.513599999999997</v>
      </c>
      <c r="J267" s="7" t="s">
        <v>20</v>
      </c>
      <c r="K267" s="7" t="s">
        <v>20</v>
      </c>
      <c r="L267" s="7" t="s">
        <v>232</v>
      </c>
      <c r="M267" s="10" t="s">
        <v>592</v>
      </c>
      <c r="N267" t="s">
        <v>650</v>
      </c>
      <c r="O267" s="10" t="s">
        <v>653</v>
      </c>
    </row>
    <row r="268" spans="1:15" ht="15.6" x14ac:dyDescent="0.3">
      <c r="A268" s="3">
        <v>267</v>
      </c>
      <c r="B268" s="4" t="s">
        <v>18</v>
      </c>
      <c r="C268" s="5" t="s">
        <v>481</v>
      </c>
      <c r="D268" s="5" t="str">
        <f t="shared" si="5"/>
        <v>IC_HuancaChanca</v>
      </c>
      <c r="E268" s="7" t="s">
        <v>10</v>
      </c>
      <c r="F268" s="8">
        <v>45967</v>
      </c>
      <c r="G268" s="9" t="s">
        <v>11</v>
      </c>
      <c r="H268" s="7">
        <v>-13.4093</v>
      </c>
      <c r="I268" s="7">
        <v>-76.109700000000004</v>
      </c>
      <c r="J268" s="7" t="s">
        <v>83</v>
      </c>
      <c r="K268" s="7" t="s">
        <v>210</v>
      </c>
      <c r="L268" s="7" t="s">
        <v>482</v>
      </c>
      <c r="M268" s="10" t="s">
        <v>593</v>
      </c>
      <c r="N268" t="s">
        <v>650</v>
      </c>
      <c r="O268" s="10" t="s">
        <v>653</v>
      </c>
    </row>
    <row r="269" spans="1:15" ht="15.6" x14ac:dyDescent="0.3">
      <c r="A269" s="3">
        <v>268</v>
      </c>
      <c r="B269" s="4" t="s">
        <v>18</v>
      </c>
      <c r="C269" s="5" t="s">
        <v>483</v>
      </c>
      <c r="D269" s="5" t="str">
        <f t="shared" si="5"/>
        <v>JU_CerroPucara</v>
      </c>
      <c r="E269" s="7" t="s">
        <v>10</v>
      </c>
      <c r="F269" s="8">
        <v>45967</v>
      </c>
      <c r="G269" s="9" t="s">
        <v>11</v>
      </c>
      <c r="H269" s="7">
        <v>-12.1767</v>
      </c>
      <c r="I269" s="7">
        <v>-75.135599999999997</v>
      </c>
      <c r="J269" s="7" t="s">
        <v>23</v>
      </c>
      <c r="K269" s="7" t="s">
        <v>24</v>
      </c>
      <c r="L269" s="7" t="s">
        <v>484</v>
      </c>
      <c r="M269" s="10" t="s">
        <v>593</v>
      </c>
      <c r="N269" t="s">
        <v>650</v>
      </c>
      <c r="O269" s="10" t="s">
        <v>654</v>
      </c>
    </row>
    <row r="270" spans="1:15" ht="15.6" x14ac:dyDescent="0.3">
      <c r="A270" s="3">
        <v>269</v>
      </c>
      <c r="B270" s="4" t="s">
        <v>18</v>
      </c>
      <c r="C270" s="5" t="s">
        <v>485</v>
      </c>
      <c r="D270" s="5" t="str">
        <f t="shared" si="5"/>
        <v>JU_StaBarbara</v>
      </c>
      <c r="E270" s="7" t="s">
        <v>10</v>
      </c>
      <c r="F270" s="8">
        <v>45967</v>
      </c>
      <c r="G270" s="9" t="s">
        <v>11</v>
      </c>
      <c r="H270" s="7">
        <v>-12.0207</v>
      </c>
      <c r="I270" s="7">
        <v>-75.275700000000001</v>
      </c>
      <c r="J270" s="7" t="s">
        <v>23</v>
      </c>
      <c r="K270" s="7" t="s">
        <v>24</v>
      </c>
      <c r="L270" s="7" t="s">
        <v>486</v>
      </c>
      <c r="M270" s="10" t="s">
        <v>593</v>
      </c>
      <c r="N270" t="s">
        <v>651</v>
      </c>
      <c r="O270" s="10" t="s">
        <v>653</v>
      </c>
    </row>
    <row r="271" spans="1:15" ht="15.6" x14ac:dyDescent="0.3">
      <c r="A271" s="3">
        <v>270</v>
      </c>
      <c r="B271" s="4" t="s">
        <v>18</v>
      </c>
      <c r="C271" s="5" t="s">
        <v>487</v>
      </c>
      <c r="D271" s="5" t="str">
        <f t="shared" si="5"/>
        <v>UY_ComandanteBarrera</v>
      </c>
      <c r="E271" s="7" t="s">
        <v>10</v>
      </c>
      <c r="F271" s="8">
        <v>45967</v>
      </c>
      <c r="G271" s="9" t="s">
        <v>11</v>
      </c>
      <c r="H271" s="7">
        <v>-8.3908500000000004</v>
      </c>
      <c r="I271" s="7">
        <v>-74.536299999999997</v>
      </c>
      <c r="J271" s="7" t="s">
        <v>49</v>
      </c>
      <c r="K271" s="7" t="s">
        <v>50</v>
      </c>
      <c r="L271" s="7" t="s">
        <v>51</v>
      </c>
      <c r="M271" s="10" t="s">
        <v>595</v>
      </c>
      <c r="N271" t="s">
        <v>652</v>
      </c>
      <c r="O271" s="10" t="s">
        <v>653</v>
      </c>
    </row>
    <row r="272" spans="1:15" ht="15.6" x14ac:dyDescent="0.3">
      <c r="A272" s="3">
        <v>271</v>
      </c>
      <c r="B272" s="4" t="s">
        <v>260</v>
      </c>
      <c r="C272" s="5" t="s">
        <v>488</v>
      </c>
      <c r="D272" s="5" t="str">
        <f t="shared" si="5"/>
        <v>CS_EmblematicoDeSicuani</v>
      </c>
      <c r="E272" s="7" t="s">
        <v>10</v>
      </c>
      <c r="F272" s="8">
        <v>45967</v>
      </c>
      <c r="G272" s="9" t="s">
        <v>11</v>
      </c>
      <c r="H272" s="7">
        <v>-14.2591</v>
      </c>
      <c r="I272" s="7">
        <v>-71.225499999999997</v>
      </c>
      <c r="J272" s="7" t="s">
        <v>26</v>
      </c>
      <c r="K272" s="7" t="s">
        <v>27</v>
      </c>
      <c r="L272" s="7" t="s">
        <v>28</v>
      </c>
      <c r="M272" s="10" t="s">
        <v>592</v>
      </c>
      <c r="N272" t="s">
        <v>650</v>
      </c>
      <c r="O272" s="10" t="s">
        <v>653</v>
      </c>
    </row>
    <row r="273" spans="1:15" ht="15.6" x14ac:dyDescent="0.3">
      <c r="A273" s="3">
        <v>272</v>
      </c>
      <c r="B273" s="4" t="s">
        <v>18</v>
      </c>
      <c r="C273" s="5" t="s">
        <v>489</v>
      </c>
      <c r="D273" s="5" t="str">
        <f t="shared" si="5"/>
        <v>IC_PlazaArmasIca</v>
      </c>
      <c r="E273" s="7" t="s">
        <v>10</v>
      </c>
      <c r="F273" s="8">
        <v>45967</v>
      </c>
      <c r="G273" s="9" t="s">
        <v>11</v>
      </c>
      <c r="H273" s="7">
        <v>-14.0633</v>
      </c>
      <c r="I273" s="7">
        <v>-75.7316</v>
      </c>
      <c r="J273" s="7" t="s">
        <v>83</v>
      </c>
      <c r="K273" s="7" t="s">
        <v>83</v>
      </c>
      <c r="L273" s="7" t="s">
        <v>83</v>
      </c>
      <c r="M273" s="10" t="s">
        <v>593</v>
      </c>
      <c r="N273" t="s">
        <v>650</v>
      </c>
      <c r="O273" s="10" t="s">
        <v>653</v>
      </c>
    </row>
    <row r="274" spans="1:15" ht="15.6" x14ac:dyDescent="0.3">
      <c r="A274" s="3">
        <v>273</v>
      </c>
      <c r="B274" s="4" t="s">
        <v>18</v>
      </c>
      <c r="C274" s="5" t="s">
        <v>490</v>
      </c>
      <c r="D274" s="5" t="str">
        <f t="shared" si="5"/>
        <v>LM_SetAmericaTv</v>
      </c>
      <c r="E274" s="7" t="s">
        <v>10</v>
      </c>
      <c r="F274" s="8">
        <v>45967</v>
      </c>
      <c r="G274" s="9" t="s">
        <v>11</v>
      </c>
      <c r="H274" s="7">
        <v>-12.2415</v>
      </c>
      <c r="I274" s="7">
        <v>-76.869500000000002</v>
      </c>
      <c r="J274" s="7" t="s">
        <v>12</v>
      </c>
      <c r="K274" s="7" t="s">
        <v>12</v>
      </c>
      <c r="L274" s="7" t="s">
        <v>69</v>
      </c>
      <c r="M274" s="10" t="s">
        <v>594</v>
      </c>
      <c r="N274" t="s">
        <v>650</v>
      </c>
      <c r="O274" s="10" t="s">
        <v>653</v>
      </c>
    </row>
    <row r="275" spans="1:15" ht="15.6" x14ac:dyDescent="0.3">
      <c r="A275" s="3">
        <v>274</v>
      </c>
      <c r="B275" s="4" t="s">
        <v>260</v>
      </c>
      <c r="C275" s="5" t="s">
        <v>491</v>
      </c>
      <c r="D275" s="5" t="str">
        <f t="shared" si="5"/>
        <v>CS_ClorindaMattoCusco</v>
      </c>
      <c r="E275" s="7" t="s">
        <v>10</v>
      </c>
      <c r="F275" s="8">
        <v>45967</v>
      </c>
      <c r="G275" s="9" t="s">
        <v>11</v>
      </c>
      <c r="H275" s="7">
        <v>-13.536099999999999</v>
      </c>
      <c r="I275" s="7">
        <v>-71.956500000000005</v>
      </c>
      <c r="J275" s="7" t="s">
        <v>26</v>
      </c>
      <c r="K275" s="7" t="s">
        <v>26</v>
      </c>
      <c r="L275" s="7" t="s">
        <v>304</v>
      </c>
      <c r="M275" s="10" t="s">
        <v>592</v>
      </c>
      <c r="N275" t="s">
        <v>650</v>
      </c>
      <c r="O275" s="10" t="s">
        <v>653</v>
      </c>
    </row>
    <row r="276" spans="1:15" ht="15.6" x14ac:dyDescent="0.3">
      <c r="A276" s="3">
        <v>275</v>
      </c>
      <c r="B276" s="4" t="s">
        <v>18</v>
      </c>
      <c r="C276" s="5" t="s">
        <v>492</v>
      </c>
      <c r="D276" s="5" t="str">
        <f t="shared" si="5"/>
        <v>JU_AcuarioDelTambo</v>
      </c>
      <c r="E276" s="7" t="s">
        <v>10</v>
      </c>
      <c r="F276" s="8">
        <v>45975</v>
      </c>
      <c r="G276" s="9" t="s">
        <v>11</v>
      </c>
      <c r="H276" s="7">
        <v>-12.021000000000001</v>
      </c>
      <c r="I276" s="7">
        <v>-75.231099999999998</v>
      </c>
      <c r="J276" s="7" t="s">
        <v>23</v>
      </c>
      <c r="K276" s="7" t="s">
        <v>24</v>
      </c>
      <c r="L276" s="7" t="s">
        <v>468</v>
      </c>
      <c r="M276" s="10" t="s">
        <v>593</v>
      </c>
      <c r="N276" t="s">
        <v>650</v>
      </c>
      <c r="O276" s="10" t="s">
        <v>653</v>
      </c>
    </row>
    <row r="277" spans="1:15" ht="15.6" x14ac:dyDescent="0.3">
      <c r="A277" s="3">
        <v>276</v>
      </c>
      <c r="B277" s="4" t="s">
        <v>18</v>
      </c>
      <c r="C277" s="5" t="s">
        <v>493</v>
      </c>
      <c r="D277" s="5" t="str">
        <f t="shared" si="5"/>
        <v>IC_ArenasLaFlorida</v>
      </c>
      <c r="E277" s="7" t="s">
        <v>10</v>
      </c>
      <c r="F277" s="8">
        <v>45979</v>
      </c>
      <c r="G277" s="9" t="s">
        <v>11</v>
      </c>
      <c r="H277" s="7">
        <v>-14.038399999999999</v>
      </c>
      <c r="I277" s="7">
        <v>-75.773899999999998</v>
      </c>
      <c r="J277" s="7" t="s">
        <v>83</v>
      </c>
      <c r="K277" s="7" t="s">
        <v>83</v>
      </c>
      <c r="L277" s="7" t="s">
        <v>494</v>
      </c>
      <c r="M277" s="10" t="s">
        <v>593</v>
      </c>
      <c r="N277" t="s">
        <v>650</v>
      </c>
      <c r="O277" s="10" t="s">
        <v>653</v>
      </c>
    </row>
    <row r="278" spans="1:15" ht="15.6" x14ac:dyDescent="0.3">
      <c r="A278" s="3">
        <v>277</v>
      </c>
      <c r="B278" s="4" t="s">
        <v>18</v>
      </c>
      <c r="C278" s="5" t="s">
        <v>495</v>
      </c>
      <c r="D278" s="5" t="str">
        <f t="shared" si="5"/>
        <v>LI_NueveDeOctubre</v>
      </c>
      <c r="E278" s="7" t="s">
        <v>10</v>
      </c>
      <c r="F278" s="8">
        <v>45980</v>
      </c>
      <c r="G278" s="9" t="s">
        <v>11</v>
      </c>
      <c r="H278" s="7">
        <v>-7.8081500000000004</v>
      </c>
      <c r="I278" s="7">
        <v>-78.047200000000004</v>
      </c>
      <c r="J278" s="7" t="s">
        <v>58</v>
      </c>
      <c r="K278" s="7" t="s">
        <v>496</v>
      </c>
      <c r="L278" s="7" t="s">
        <v>497</v>
      </c>
      <c r="M278" s="10" t="s">
        <v>593</v>
      </c>
      <c r="N278" t="s">
        <v>652</v>
      </c>
      <c r="O278" s="10" t="s">
        <v>653</v>
      </c>
    </row>
    <row r="279" spans="1:15" ht="15.6" x14ac:dyDescent="0.3">
      <c r="A279" s="3">
        <v>278</v>
      </c>
      <c r="B279" s="4" t="s">
        <v>18</v>
      </c>
      <c r="C279" s="5" t="s">
        <v>498</v>
      </c>
      <c r="D279" s="5" t="str">
        <f t="shared" si="5"/>
        <v>IC_ColinasDeLaAngostura</v>
      </c>
      <c r="E279" s="7" t="s">
        <v>10</v>
      </c>
      <c r="F279" s="8">
        <v>45981</v>
      </c>
      <c r="G279" s="9" t="s">
        <v>11</v>
      </c>
      <c r="H279" s="7">
        <v>-14.0359</v>
      </c>
      <c r="I279" s="7">
        <v>-75.747900000000001</v>
      </c>
      <c r="J279" s="7" t="s">
        <v>83</v>
      </c>
      <c r="K279" s="7" t="s">
        <v>83</v>
      </c>
      <c r="L279" s="7" t="s">
        <v>494</v>
      </c>
      <c r="M279" s="10" t="s">
        <v>593</v>
      </c>
      <c r="N279" t="s">
        <v>650</v>
      </c>
      <c r="O279" s="10" t="s">
        <v>653</v>
      </c>
    </row>
    <row r="280" spans="1:15" ht="15.6" x14ac:dyDescent="0.3">
      <c r="A280" s="3">
        <v>279</v>
      </c>
      <c r="B280" s="4" t="s">
        <v>18</v>
      </c>
      <c r="C280" s="5" t="s">
        <v>499</v>
      </c>
      <c r="D280" s="5" t="str">
        <f t="shared" si="5"/>
        <v>CS_MiradorEstrella</v>
      </c>
      <c r="E280" s="7" t="s">
        <v>10</v>
      </c>
      <c r="F280" s="8">
        <v>45982</v>
      </c>
      <c r="G280" s="9" t="s">
        <v>11</v>
      </c>
      <c r="H280" s="7">
        <v>-13.5406</v>
      </c>
      <c r="I280" s="7">
        <v>-71.987200000000001</v>
      </c>
      <c r="J280" s="7" t="s">
        <v>26</v>
      </c>
      <c r="K280" s="7" t="s">
        <v>26</v>
      </c>
      <c r="L280" s="7" t="s">
        <v>304</v>
      </c>
      <c r="M280" s="10" t="s">
        <v>592</v>
      </c>
      <c r="N280" t="s">
        <v>650</v>
      </c>
      <c r="O280" s="10" t="s">
        <v>653</v>
      </c>
    </row>
    <row r="281" spans="1:15" ht="15.6" x14ac:dyDescent="0.3">
      <c r="A281" s="3">
        <v>280</v>
      </c>
      <c r="B281" s="4" t="s">
        <v>18</v>
      </c>
      <c r="C281" s="5" t="s">
        <v>500</v>
      </c>
      <c r="D281" s="5" t="str">
        <f t="shared" si="5"/>
        <v>PI_AvMonteVerde</v>
      </c>
      <c r="E281" s="7" t="s">
        <v>10</v>
      </c>
      <c r="F281" s="8">
        <v>45986</v>
      </c>
      <c r="G281" s="9" t="s">
        <v>11</v>
      </c>
      <c r="H281" s="7">
        <v>-5.23245</v>
      </c>
      <c r="I281" s="7">
        <v>-80.639399999999995</v>
      </c>
      <c r="J281" s="7" t="s">
        <v>53</v>
      </c>
      <c r="K281" s="7" t="s">
        <v>53</v>
      </c>
      <c r="L281" s="7" t="s">
        <v>56</v>
      </c>
      <c r="M281" s="10" t="s">
        <v>593</v>
      </c>
      <c r="N281" t="s">
        <v>650</v>
      </c>
      <c r="O281" s="10" t="s">
        <v>653</v>
      </c>
    </row>
    <row r="282" spans="1:15" ht="15.6" x14ac:dyDescent="0.3">
      <c r="A282" s="3">
        <v>281</v>
      </c>
      <c r="B282" s="4" t="s">
        <v>18</v>
      </c>
      <c r="C282" s="5" t="s">
        <v>501</v>
      </c>
      <c r="D282" s="5" t="str">
        <f t="shared" si="5"/>
        <v>LM_MadreDelRedentor</v>
      </c>
      <c r="E282" s="7" t="s">
        <v>10</v>
      </c>
      <c r="F282" s="8">
        <v>45988</v>
      </c>
      <c r="G282" s="9" t="s">
        <v>11</v>
      </c>
      <c r="H282" s="7">
        <v>-12.1822</v>
      </c>
      <c r="I282" s="7">
        <v>-76.980999999999995</v>
      </c>
      <c r="J282" s="7" t="s">
        <v>12</v>
      </c>
      <c r="K282" s="7" t="s">
        <v>12</v>
      </c>
      <c r="L282" s="7" t="s">
        <v>502</v>
      </c>
      <c r="M282" s="10" t="s">
        <v>594</v>
      </c>
      <c r="N282" t="s">
        <v>650</v>
      </c>
      <c r="O282" s="10" t="s">
        <v>653</v>
      </c>
    </row>
    <row r="283" spans="1:15" ht="15.6" x14ac:dyDescent="0.3">
      <c r="A283" s="3">
        <v>282</v>
      </c>
      <c r="B283" s="4" t="s">
        <v>260</v>
      </c>
      <c r="C283" s="5" t="s">
        <v>503</v>
      </c>
      <c r="D283" s="5" t="str">
        <f t="shared" si="5"/>
        <v>LM_Naranjo</v>
      </c>
      <c r="E283" s="7" t="s">
        <v>10</v>
      </c>
      <c r="F283" s="8">
        <v>45988</v>
      </c>
      <c r="G283" s="9" t="s">
        <v>11</v>
      </c>
      <c r="H283" s="7">
        <v>-12.0618</v>
      </c>
      <c r="I283" s="7">
        <v>-77.028000000000006</v>
      </c>
      <c r="J283" s="7" t="s">
        <v>12</v>
      </c>
      <c r="K283" s="7" t="s">
        <v>12</v>
      </c>
      <c r="L283" s="7" t="s">
        <v>456</v>
      </c>
      <c r="M283" s="10" t="s">
        <v>594</v>
      </c>
      <c r="N283" t="s">
        <v>651</v>
      </c>
      <c r="O283" s="10" t="s">
        <v>653</v>
      </c>
    </row>
    <row r="284" spans="1:15" ht="15.6" x14ac:dyDescent="0.3">
      <c r="A284" s="3">
        <v>283</v>
      </c>
      <c r="B284" s="4" t="s">
        <v>18</v>
      </c>
      <c r="C284" s="5" t="s">
        <v>504</v>
      </c>
      <c r="D284" s="5" t="str">
        <f t="shared" si="5"/>
        <v>LA_EstanciaDelValle</v>
      </c>
      <c r="E284" s="7" t="s">
        <v>10</v>
      </c>
      <c r="F284" s="8">
        <v>45989</v>
      </c>
      <c r="G284" s="9" t="s">
        <v>11</v>
      </c>
      <c r="H284" s="7">
        <v>-6.7439299999999998</v>
      </c>
      <c r="I284" s="7">
        <v>-79.817599999999999</v>
      </c>
      <c r="J284" s="7" t="s">
        <v>71</v>
      </c>
      <c r="K284" s="7" t="s">
        <v>72</v>
      </c>
      <c r="L284" s="7" t="s">
        <v>445</v>
      </c>
      <c r="M284" s="10" t="s">
        <v>593</v>
      </c>
      <c r="N284" t="s">
        <v>650</v>
      </c>
      <c r="O284" s="10" t="s">
        <v>653</v>
      </c>
    </row>
    <row r="285" spans="1:15" ht="15.6" x14ac:dyDescent="0.3">
      <c r="A285" s="3">
        <v>284</v>
      </c>
      <c r="B285" s="4" t="s">
        <v>18</v>
      </c>
      <c r="C285" s="5" t="s">
        <v>505</v>
      </c>
      <c r="D285" s="5" t="str">
        <f t="shared" si="5"/>
        <v>AQ_SacoOliveros</v>
      </c>
      <c r="E285" s="7" t="s">
        <v>10</v>
      </c>
      <c r="F285" s="8">
        <v>45989</v>
      </c>
      <c r="G285" s="9" t="s">
        <v>11</v>
      </c>
      <c r="H285" s="7">
        <v>-16.427299999999999</v>
      </c>
      <c r="I285" s="7">
        <v>-71.545400000000001</v>
      </c>
      <c r="J285" s="7" t="s">
        <v>20</v>
      </c>
      <c r="K285" s="7" t="s">
        <v>20</v>
      </c>
      <c r="L285" s="7" t="s">
        <v>232</v>
      </c>
      <c r="M285" s="10" t="s">
        <v>592</v>
      </c>
      <c r="N285" t="s">
        <v>651</v>
      </c>
      <c r="O285" s="10" t="s">
        <v>653</v>
      </c>
    </row>
    <row r="286" spans="1:15" ht="15.6" x14ac:dyDescent="0.3">
      <c r="A286" s="3">
        <v>285</v>
      </c>
      <c r="B286" s="4" t="s">
        <v>18</v>
      </c>
      <c r="C286" s="5" t="s">
        <v>506</v>
      </c>
      <c r="D286" s="5" t="str">
        <f t="shared" si="5"/>
        <v>CS_Huattampampa</v>
      </c>
      <c r="E286" s="7" t="s">
        <v>10</v>
      </c>
      <c r="F286" s="8">
        <v>45990</v>
      </c>
      <c r="G286" s="9" t="s">
        <v>11</v>
      </c>
      <c r="H286" s="7">
        <v>-13.5528</v>
      </c>
      <c r="I286" s="7">
        <v>-71.988</v>
      </c>
      <c r="J286" s="7" t="s">
        <v>26</v>
      </c>
      <c r="K286" s="7" t="s">
        <v>26</v>
      </c>
      <c r="L286" s="7" t="s">
        <v>304</v>
      </c>
      <c r="M286" s="10" t="s">
        <v>592</v>
      </c>
      <c r="N286" t="s">
        <v>650</v>
      </c>
      <c r="O286" s="10" t="s">
        <v>653</v>
      </c>
    </row>
    <row r="287" spans="1:15" ht="15.6" x14ac:dyDescent="0.3">
      <c r="A287" s="3">
        <v>286</v>
      </c>
      <c r="B287" s="4" t="s">
        <v>18</v>
      </c>
      <c r="C287" s="5" t="s">
        <v>507</v>
      </c>
      <c r="D287" s="5" t="str">
        <f t="shared" si="5"/>
        <v>PI_LagunaCoscomba</v>
      </c>
      <c r="E287" s="7" t="s">
        <v>10</v>
      </c>
      <c r="F287" s="8">
        <v>45993</v>
      </c>
      <c r="G287" s="9" t="s">
        <v>11</v>
      </c>
      <c r="H287" s="7">
        <v>-5.2091700000000003</v>
      </c>
      <c r="I287" s="7">
        <v>-80.641000000000005</v>
      </c>
      <c r="J287" s="7" t="s">
        <v>53</v>
      </c>
      <c r="K287" s="7" t="s">
        <v>53</v>
      </c>
      <c r="L287" s="7" t="s">
        <v>53</v>
      </c>
      <c r="M287" s="10" t="s">
        <v>593</v>
      </c>
      <c r="N287" t="s">
        <v>650</v>
      </c>
      <c r="O287" s="10" t="s">
        <v>653</v>
      </c>
    </row>
    <row r="288" spans="1:15" ht="15.6" x14ac:dyDescent="0.3">
      <c r="A288" s="3">
        <v>287</v>
      </c>
      <c r="B288" s="4" t="s">
        <v>18</v>
      </c>
      <c r="C288" s="5" t="s">
        <v>508</v>
      </c>
      <c r="D288" s="5" t="str">
        <f t="shared" si="5"/>
        <v>IC_FrayRosas</v>
      </c>
      <c r="E288" s="7" t="s">
        <v>10</v>
      </c>
      <c r="F288" s="8">
        <v>45993</v>
      </c>
      <c r="G288" s="9" t="s">
        <v>11</v>
      </c>
      <c r="H288" s="7">
        <v>-14.0375</v>
      </c>
      <c r="I288" s="7">
        <v>-75.712199999999996</v>
      </c>
      <c r="J288" s="7" t="s">
        <v>83</v>
      </c>
      <c r="K288" s="7" t="s">
        <v>83</v>
      </c>
      <c r="L288" s="7" t="s">
        <v>101</v>
      </c>
      <c r="M288" s="10" t="s">
        <v>593</v>
      </c>
      <c r="N288" t="s">
        <v>650</v>
      </c>
      <c r="O288" s="10" t="s">
        <v>653</v>
      </c>
    </row>
    <row r="289" spans="1:15" ht="15.6" x14ac:dyDescent="0.3">
      <c r="A289" s="3">
        <v>288</v>
      </c>
      <c r="B289" s="4" t="s">
        <v>18</v>
      </c>
      <c r="C289" s="5" t="s">
        <v>509</v>
      </c>
      <c r="D289" s="5" t="str">
        <f t="shared" si="5"/>
        <v>AZ_BaguaGrande</v>
      </c>
      <c r="E289" s="7" t="s">
        <v>10</v>
      </c>
      <c r="F289" s="8">
        <v>45995</v>
      </c>
      <c r="G289" s="9" t="s">
        <v>11</v>
      </c>
      <c r="H289" s="7">
        <v>-5.7515900000000002</v>
      </c>
      <c r="I289" s="7">
        <v>-78.450400000000002</v>
      </c>
      <c r="J289" s="7" t="s">
        <v>423</v>
      </c>
      <c r="K289" s="7" t="s">
        <v>424</v>
      </c>
      <c r="L289" s="7" t="s">
        <v>425</v>
      </c>
      <c r="M289" s="10" t="s">
        <v>595</v>
      </c>
      <c r="N289" t="s">
        <v>652</v>
      </c>
      <c r="O289" s="10" t="s">
        <v>653</v>
      </c>
    </row>
    <row r="290" spans="1:15" ht="15.6" x14ac:dyDescent="0.3">
      <c r="A290" s="3">
        <v>289</v>
      </c>
      <c r="B290" s="4" t="s">
        <v>260</v>
      </c>
      <c r="C290" s="5" t="s">
        <v>510</v>
      </c>
      <c r="D290" s="5" t="str">
        <f t="shared" si="5"/>
        <v>CP_RioEntaz</v>
      </c>
      <c r="E290" s="7" t="s">
        <v>10</v>
      </c>
      <c r="F290" s="8">
        <v>45995</v>
      </c>
      <c r="G290" s="9" t="s">
        <v>11</v>
      </c>
      <c r="H290" s="7">
        <v>-10.7273</v>
      </c>
      <c r="I290" s="7">
        <v>-75.263300000000001</v>
      </c>
      <c r="J290" s="7" t="s">
        <v>346</v>
      </c>
      <c r="K290" s="7" t="s">
        <v>511</v>
      </c>
      <c r="L290" s="7" t="s">
        <v>512</v>
      </c>
      <c r="M290" s="10" t="s">
        <v>595</v>
      </c>
      <c r="N290" t="s">
        <v>650</v>
      </c>
      <c r="O290" s="10" t="s">
        <v>653</v>
      </c>
    </row>
    <row r="291" spans="1:15" ht="15.6" x14ac:dyDescent="0.3">
      <c r="A291" s="3">
        <v>290</v>
      </c>
      <c r="B291" s="4" t="s">
        <v>18</v>
      </c>
      <c r="C291" s="5" t="s">
        <v>513</v>
      </c>
      <c r="D291" s="5" t="str">
        <f t="shared" si="5"/>
        <v>PI_PuebloChocan</v>
      </c>
      <c r="E291" s="7" t="s">
        <v>10</v>
      </c>
      <c r="F291" s="8">
        <v>45995</v>
      </c>
      <c r="G291" s="9" t="s">
        <v>11</v>
      </c>
      <c r="H291" s="7">
        <v>-4.7276600000000002</v>
      </c>
      <c r="I291" s="7">
        <v>-80.574700000000007</v>
      </c>
      <c r="J291" s="7" t="s">
        <v>53</v>
      </c>
      <c r="K291" s="7" t="s">
        <v>78</v>
      </c>
      <c r="L291" s="7" t="s">
        <v>514</v>
      </c>
      <c r="M291" s="10" t="s">
        <v>593</v>
      </c>
      <c r="N291" t="s">
        <v>650</v>
      </c>
      <c r="O291" s="10" t="s">
        <v>653</v>
      </c>
    </row>
    <row r="292" spans="1:15" ht="15.6" x14ac:dyDescent="0.3">
      <c r="A292" s="3">
        <v>291</v>
      </c>
      <c r="B292" s="4" t="s">
        <v>18</v>
      </c>
      <c r="C292" s="5" t="s">
        <v>515</v>
      </c>
      <c r="D292" s="5" t="str">
        <f t="shared" si="5"/>
        <v>SM_NvoHorizonteTocache</v>
      </c>
      <c r="E292" s="7" t="s">
        <v>10</v>
      </c>
      <c r="F292" s="8">
        <v>45995</v>
      </c>
      <c r="G292" s="9" t="s">
        <v>11</v>
      </c>
      <c r="H292" s="7">
        <v>-8.1071100000000005</v>
      </c>
      <c r="I292" s="7">
        <v>-76.618700000000004</v>
      </c>
      <c r="J292" s="7" t="s">
        <v>195</v>
      </c>
      <c r="K292" s="7" t="s">
        <v>196</v>
      </c>
      <c r="L292" s="7" t="s">
        <v>516</v>
      </c>
      <c r="M292" s="10" t="s">
        <v>595</v>
      </c>
      <c r="N292" t="s">
        <v>650</v>
      </c>
      <c r="O292" s="10" t="s">
        <v>653</v>
      </c>
    </row>
    <row r="293" spans="1:15" ht="15.6" x14ac:dyDescent="0.3">
      <c r="A293" s="3">
        <v>292</v>
      </c>
      <c r="B293" s="4" t="s">
        <v>18</v>
      </c>
      <c r="C293" s="5" t="s">
        <v>517</v>
      </c>
      <c r="D293" s="5" t="str">
        <f t="shared" si="5"/>
        <v>PI_ColiseoDeGallos</v>
      </c>
      <c r="E293" s="7" t="s">
        <v>10</v>
      </c>
      <c r="F293" s="8">
        <v>45996</v>
      </c>
      <c r="G293" s="9" t="s">
        <v>11</v>
      </c>
      <c r="H293" s="7">
        <v>-5.1988099999999999</v>
      </c>
      <c r="I293" s="7">
        <v>-80.58</v>
      </c>
      <c r="J293" s="7" t="s">
        <v>53</v>
      </c>
      <c r="K293" s="7" t="s">
        <v>53</v>
      </c>
      <c r="L293" s="7" t="s">
        <v>61</v>
      </c>
      <c r="M293" s="10" t="s">
        <v>593</v>
      </c>
      <c r="N293" t="s">
        <v>650</v>
      </c>
      <c r="O293" s="10" t="s">
        <v>653</v>
      </c>
    </row>
    <row r="294" spans="1:15" ht="15.6" x14ac:dyDescent="0.3">
      <c r="A294" s="3">
        <v>293</v>
      </c>
      <c r="B294" s="4" t="s">
        <v>18</v>
      </c>
      <c r="C294" s="5" t="s">
        <v>518</v>
      </c>
      <c r="D294" s="5" t="str">
        <f t="shared" si="5"/>
        <v>JU_IsuzuCoyllor</v>
      </c>
      <c r="E294" s="7" t="s">
        <v>10</v>
      </c>
      <c r="F294" s="8">
        <v>45996</v>
      </c>
      <c r="G294" s="9" t="s">
        <v>11</v>
      </c>
      <c r="H294" s="7">
        <v>-12.0115</v>
      </c>
      <c r="I294" s="7">
        <v>-75.245699999999999</v>
      </c>
      <c r="J294" s="7" t="s">
        <v>23</v>
      </c>
      <c r="K294" s="7" t="s">
        <v>24</v>
      </c>
      <c r="L294" s="7" t="s">
        <v>519</v>
      </c>
      <c r="M294" s="10" t="s">
        <v>593</v>
      </c>
      <c r="N294" t="s">
        <v>650</v>
      </c>
      <c r="O294" s="10" t="s">
        <v>653</v>
      </c>
    </row>
    <row r="295" spans="1:15" ht="15.6" x14ac:dyDescent="0.3">
      <c r="A295" s="3">
        <v>294</v>
      </c>
      <c r="B295" s="4" t="s">
        <v>18</v>
      </c>
      <c r="C295" s="5" t="s">
        <v>520</v>
      </c>
      <c r="D295" s="5" t="str">
        <f t="shared" si="5"/>
        <v>LM_ParqueMayor</v>
      </c>
      <c r="E295" s="7" t="s">
        <v>10</v>
      </c>
      <c r="F295" s="8">
        <v>45996</v>
      </c>
      <c r="G295" s="9" t="s">
        <v>11</v>
      </c>
      <c r="H295" s="7">
        <v>-12.0288</v>
      </c>
      <c r="I295" s="7">
        <v>-76.960899999999995</v>
      </c>
      <c r="J295" s="7" t="s">
        <v>12</v>
      </c>
      <c r="K295" s="7" t="s">
        <v>12</v>
      </c>
      <c r="L295" s="7" t="s">
        <v>521</v>
      </c>
      <c r="M295" s="10" t="s">
        <v>594</v>
      </c>
      <c r="N295" t="s">
        <v>651</v>
      </c>
      <c r="O295" s="10" t="s">
        <v>653</v>
      </c>
    </row>
    <row r="296" spans="1:15" ht="15.6" x14ac:dyDescent="0.3">
      <c r="A296" s="3">
        <v>295</v>
      </c>
      <c r="B296" s="4" t="s">
        <v>18</v>
      </c>
      <c r="C296" s="5" t="s">
        <v>522</v>
      </c>
      <c r="D296" s="5" t="str">
        <f t="shared" si="5"/>
        <v>JU_RioTulumayo</v>
      </c>
      <c r="E296" s="7" t="s">
        <v>10</v>
      </c>
      <c r="F296" s="8">
        <v>45996</v>
      </c>
      <c r="G296" s="9" t="s">
        <v>11</v>
      </c>
      <c r="H296" s="7">
        <v>-11.1326</v>
      </c>
      <c r="I296" s="7">
        <v>-75.358900000000006</v>
      </c>
      <c r="J296" s="7" t="s">
        <v>23</v>
      </c>
      <c r="K296" s="7" t="s">
        <v>523</v>
      </c>
      <c r="L296" s="7" t="s">
        <v>524</v>
      </c>
      <c r="M296" s="10" t="s">
        <v>593</v>
      </c>
      <c r="N296" t="s">
        <v>650</v>
      </c>
      <c r="O296" s="10" t="s">
        <v>653</v>
      </c>
    </row>
    <row r="297" spans="1:15" ht="15.6" x14ac:dyDescent="0.3">
      <c r="A297" s="3">
        <v>296</v>
      </c>
      <c r="B297" s="4" t="s">
        <v>18</v>
      </c>
      <c r="C297" s="5" t="s">
        <v>525</v>
      </c>
      <c r="D297" s="5" t="str">
        <f t="shared" si="5"/>
        <v>LI_CaliforniaDeViru</v>
      </c>
      <c r="E297" s="7" t="s">
        <v>10</v>
      </c>
      <c r="F297" s="8">
        <v>46001</v>
      </c>
      <c r="G297" s="9" t="s">
        <v>11</v>
      </c>
      <c r="H297" s="7">
        <v>-8.4109700000000007</v>
      </c>
      <c r="I297" s="7">
        <v>-78.808999999999997</v>
      </c>
      <c r="J297" s="7" t="s">
        <v>58</v>
      </c>
      <c r="K297" s="7" t="s">
        <v>148</v>
      </c>
      <c r="L297" s="7" t="s">
        <v>148</v>
      </c>
      <c r="M297" s="10" t="s">
        <v>593</v>
      </c>
      <c r="N297" t="s">
        <v>650</v>
      </c>
      <c r="O297" s="10" t="s">
        <v>653</v>
      </c>
    </row>
    <row r="298" spans="1:15" ht="15.6" x14ac:dyDescent="0.3">
      <c r="A298" s="3">
        <v>297</v>
      </c>
      <c r="B298" s="4" t="s">
        <v>18</v>
      </c>
      <c r="C298" s="5" t="s">
        <v>526</v>
      </c>
      <c r="D298" s="5" t="str">
        <f t="shared" si="5"/>
        <v>LA_Saman</v>
      </c>
      <c r="E298" s="7" t="s">
        <v>10</v>
      </c>
      <c r="F298" s="8">
        <v>46001</v>
      </c>
      <c r="G298" s="9" t="s">
        <v>11</v>
      </c>
      <c r="H298" s="7">
        <v>-6.7677800000000001</v>
      </c>
      <c r="I298" s="7">
        <v>-79.804699999999997</v>
      </c>
      <c r="J298" s="7" t="s">
        <v>71</v>
      </c>
      <c r="K298" s="7" t="s">
        <v>72</v>
      </c>
      <c r="L298" s="7" t="s">
        <v>72</v>
      </c>
      <c r="M298" s="10" t="s">
        <v>593</v>
      </c>
      <c r="N298" t="s">
        <v>650</v>
      </c>
      <c r="O298" s="10" t="s">
        <v>653</v>
      </c>
    </row>
    <row r="299" spans="1:15" ht="15.6" x14ac:dyDescent="0.3">
      <c r="A299" s="3">
        <v>298</v>
      </c>
      <c r="B299" s="4" t="s">
        <v>18</v>
      </c>
      <c r="C299" s="5" t="s">
        <v>527</v>
      </c>
      <c r="D299" s="5" t="str">
        <f t="shared" si="5"/>
        <v>IC_FundosLaJoya</v>
      </c>
      <c r="E299" s="7" t="s">
        <v>10</v>
      </c>
      <c r="F299" s="8">
        <v>46002</v>
      </c>
      <c r="G299" s="9" t="s">
        <v>11</v>
      </c>
      <c r="H299" s="7">
        <v>-14.267099999999999</v>
      </c>
      <c r="I299" s="7">
        <v>-75.683599999999998</v>
      </c>
      <c r="J299" s="7" t="s">
        <v>83</v>
      </c>
      <c r="K299" s="7" t="s">
        <v>83</v>
      </c>
      <c r="L299" s="7" t="s">
        <v>304</v>
      </c>
      <c r="M299" s="10" t="s">
        <v>593</v>
      </c>
      <c r="N299" t="s">
        <v>649</v>
      </c>
      <c r="O299" s="10" t="s">
        <v>653</v>
      </c>
    </row>
    <row r="300" spans="1:15" ht="15.6" x14ac:dyDescent="0.3">
      <c r="A300" s="3">
        <v>299</v>
      </c>
      <c r="B300" s="4" t="s">
        <v>18</v>
      </c>
      <c r="C300" s="5" t="s">
        <v>528</v>
      </c>
      <c r="D300" s="5" t="str">
        <f t="shared" si="5"/>
        <v>PI_PuebloMallares</v>
      </c>
      <c r="E300" s="7" t="s">
        <v>10</v>
      </c>
      <c r="F300" s="8">
        <v>46002</v>
      </c>
      <c r="G300" s="9" t="s">
        <v>11</v>
      </c>
      <c r="H300" s="7">
        <v>-4.8572800000000003</v>
      </c>
      <c r="I300" s="7">
        <v>-80.770700000000005</v>
      </c>
      <c r="J300" s="7" t="s">
        <v>53</v>
      </c>
      <c r="K300" s="7" t="s">
        <v>78</v>
      </c>
      <c r="L300" s="7" t="s">
        <v>529</v>
      </c>
      <c r="M300" s="10" t="s">
        <v>593</v>
      </c>
      <c r="N300" t="s">
        <v>650</v>
      </c>
      <c r="O300" s="10" t="s">
        <v>653</v>
      </c>
    </row>
    <row r="301" spans="1:15" ht="15.6" x14ac:dyDescent="0.3">
      <c r="A301" s="3">
        <v>300</v>
      </c>
      <c r="B301" s="4" t="s">
        <v>18</v>
      </c>
      <c r="C301" s="5" t="s">
        <v>530</v>
      </c>
      <c r="D301" s="5" t="str">
        <f t="shared" si="5"/>
        <v>LM_HuaycanZonaZ</v>
      </c>
      <c r="E301" s="7" t="s">
        <v>10</v>
      </c>
      <c r="F301" s="8">
        <v>46003</v>
      </c>
      <c r="G301" s="9" t="s">
        <v>11</v>
      </c>
      <c r="H301" s="7">
        <v>-12.0097</v>
      </c>
      <c r="I301" s="7">
        <v>-76.800200000000004</v>
      </c>
      <c r="J301" s="7" t="s">
        <v>12</v>
      </c>
      <c r="K301" s="7" t="s">
        <v>12</v>
      </c>
      <c r="L301" s="7" t="s">
        <v>207</v>
      </c>
      <c r="M301" s="10" t="s">
        <v>594</v>
      </c>
      <c r="N301" t="s">
        <v>650</v>
      </c>
      <c r="O301" s="10" t="s">
        <v>653</v>
      </c>
    </row>
    <row r="302" spans="1:15" ht="15.6" x14ac:dyDescent="0.3">
      <c r="A302" s="3">
        <v>301</v>
      </c>
      <c r="B302" s="4" t="s">
        <v>18</v>
      </c>
      <c r="C302" s="5" t="s">
        <v>531</v>
      </c>
      <c r="D302" s="5" t="str">
        <f t="shared" si="5"/>
        <v>LI_LosPinosHuanchaco</v>
      </c>
      <c r="E302" s="7" t="s">
        <v>10</v>
      </c>
      <c r="F302" s="8">
        <v>46003</v>
      </c>
      <c r="G302" s="9" t="s">
        <v>11</v>
      </c>
      <c r="H302" s="7">
        <v>-8.0903600000000004</v>
      </c>
      <c r="I302" s="7">
        <v>-79.075400000000002</v>
      </c>
      <c r="J302" s="7" t="s">
        <v>58</v>
      </c>
      <c r="K302" s="7" t="s">
        <v>138</v>
      </c>
      <c r="L302" s="7" t="s">
        <v>193</v>
      </c>
      <c r="M302" s="10" t="s">
        <v>593</v>
      </c>
      <c r="N302" t="s">
        <v>650</v>
      </c>
      <c r="O302" s="10" t="s">
        <v>653</v>
      </c>
    </row>
    <row r="303" spans="1:15" ht="15.6" x14ac:dyDescent="0.3">
      <c r="A303" s="3">
        <v>302</v>
      </c>
      <c r="B303" s="4" t="s">
        <v>18</v>
      </c>
      <c r="C303" s="5" t="s">
        <v>532</v>
      </c>
      <c r="D303" s="5" t="str">
        <f t="shared" si="5"/>
        <v>PI_VittorioDeBernal</v>
      </c>
      <c r="E303" s="7" t="s">
        <v>10</v>
      </c>
      <c r="F303" s="8">
        <v>46003</v>
      </c>
      <c r="G303" s="9" t="s">
        <v>11</v>
      </c>
      <c r="H303" s="7">
        <v>-5.4579700000000004</v>
      </c>
      <c r="I303" s="7">
        <v>-80.742699999999999</v>
      </c>
      <c r="J303" s="7" t="s">
        <v>53</v>
      </c>
      <c r="K303" s="7" t="s">
        <v>533</v>
      </c>
      <c r="L303" s="7" t="s">
        <v>534</v>
      </c>
      <c r="M303" s="10" t="s">
        <v>593</v>
      </c>
      <c r="N303" t="s">
        <v>650</v>
      </c>
      <c r="O303" s="10" t="s">
        <v>653</v>
      </c>
    </row>
    <row r="304" spans="1:15" ht="15.6" x14ac:dyDescent="0.3">
      <c r="A304" s="3">
        <v>303</v>
      </c>
      <c r="B304" s="4" t="s">
        <v>18</v>
      </c>
      <c r="C304" s="5" t="s">
        <v>535</v>
      </c>
      <c r="D304" s="5" t="str">
        <f t="shared" si="5"/>
        <v>LA_ProlongacionSanCarlos</v>
      </c>
      <c r="E304" s="7" t="s">
        <v>10</v>
      </c>
      <c r="F304" s="8">
        <v>46004</v>
      </c>
      <c r="G304" s="9" t="s">
        <v>11</v>
      </c>
      <c r="H304" s="7">
        <v>-6.7663900000000003</v>
      </c>
      <c r="I304" s="7">
        <v>-79.8155</v>
      </c>
      <c r="J304" s="7" t="s">
        <v>71</v>
      </c>
      <c r="K304" s="7" t="s">
        <v>72</v>
      </c>
      <c r="L304" s="7" t="s">
        <v>72</v>
      </c>
      <c r="M304" s="10" t="s">
        <v>593</v>
      </c>
      <c r="N304" t="s">
        <v>650</v>
      </c>
      <c r="O304" s="10" t="s">
        <v>653</v>
      </c>
    </row>
    <row r="305" spans="1:15" ht="15.6" x14ac:dyDescent="0.3">
      <c r="A305" s="3">
        <v>304</v>
      </c>
      <c r="B305" s="4" t="s">
        <v>18</v>
      </c>
      <c r="C305" s="5" t="s">
        <v>536</v>
      </c>
      <c r="D305" s="5" t="str">
        <f t="shared" si="5"/>
        <v>LM_BandurriaDeChilca</v>
      </c>
      <c r="E305" s="7" t="s">
        <v>10</v>
      </c>
      <c r="F305" s="8">
        <v>46004</v>
      </c>
      <c r="G305" s="9" t="s">
        <v>11</v>
      </c>
      <c r="H305" s="7">
        <v>-12.509399999999999</v>
      </c>
      <c r="I305" s="7">
        <v>-76.756500000000003</v>
      </c>
      <c r="J305" s="7" t="s">
        <v>12</v>
      </c>
      <c r="K305" s="7" t="s">
        <v>16</v>
      </c>
      <c r="L305" s="7" t="s">
        <v>302</v>
      </c>
      <c r="M305" s="10" t="s">
        <v>594</v>
      </c>
      <c r="N305" t="s">
        <v>650</v>
      </c>
      <c r="O305" s="10" t="s">
        <v>653</v>
      </c>
    </row>
    <row r="306" spans="1:15" ht="15.6" x14ac:dyDescent="0.3">
      <c r="A306" s="3">
        <v>305</v>
      </c>
      <c r="B306" s="4" t="s">
        <v>18</v>
      </c>
      <c r="C306" s="5" t="s">
        <v>537</v>
      </c>
      <c r="D306" s="5" t="str">
        <f t="shared" si="5"/>
        <v>LI_ParqueIndustrialLaEsperanza</v>
      </c>
      <c r="E306" s="7" t="s">
        <v>10</v>
      </c>
      <c r="F306" s="8">
        <v>46005</v>
      </c>
      <c r="G306" s="9" t="s">
        <v>11</v>
      </c>
      <c r="H306" s="7">
        <v>-8.0614799999999995</v>
      </c>
      <c r="I306" s="7">
        <v>-79.063900000000004</v>
      </c>
      <c r="J306" s="7" t="s">
        <v>58</v>
      </c>
      <c r="K306" s="7" t="s">
        <v>138</v>
      </c>
      <c r="L306" s="7" t="s">
        <v>300</v>
      </c>
      <c r="M306" s="10" t="s">
        <v>593</v>
      </c>
      <c r="N306" t="s">
        <v>650</v>
      </c>
      <c r="O306" s="10" t="s">
        <v>653</v>
      </c>
    </row>
    <row r="307" spans="1:15" ht="15.6" x14ac:dyDescent="0.3">
      <c r="A307" s="3">
        <v>306</v>
      </c>
      <c r="B307" s="4" t="s">
        <v>18</v>
      </c>
      <c r="C307" s="5" t="s">
        <v>538</v>
      </c>
      <c r="D307" s="5" t="str">
        <f t="shared" si="5"/>
        <v>LA_Faiques</v>
      </c>
      <c r="E307" s="7" t="s">
        <v>10</v>
      </c>
      <c r="F307" s="8">
        <v>46005</v>
      </c>
      <c r="G307" s="9" t="s">
        <v>11</v>
      </c>
      <c r="H307" s="7">
        <v>-6.7440499999999997</v>
      </c>
      <c r="I307" s="7">
        <v>-79.849599999999995</v>
      </c>
      <c r="J307" s="7" t="s">
        <v>71</v>
      </c>
      <c r="K307" s="7" t="s">
        <v>72</v>
      </c>
      <c r="L307" s="7" t="s">
        <v>445</v>
      </c>
      <c r="M307" s="10" t="s">
        <v>593</v>
      </c>
      <c r="N307" t="s">
        <v>650</v>
      </c>
      <c r="O307" s="10" t="s">
        <v>653</v>
      </c>
    </row>
    <row r="308" spans="1:15" ht="15.6" x14ac:dyDescent="0.3">
      <c r="A308" s="3">
        <v>307</v>
      </c>
      <c r="B308" s="4" t="s">
        <v>18</v>
      </c>
      <c r="C308" s="5" t="s">
        <v>539</v>
      </c>
      <c r="D308" s="5" t="str">
        <f t="shared" si="5"/>
        <v>LA_Patapo</v>
      </c>
      <c r="E308" s="7" t="s">
        <v>10</v>
      </c>
      <c r="F308" s="8">
        <v>46006</v>
      </c>
      <c r="G308" s="9" t="s">
        <v>11</v>
      </c>
      <c r="H308" s="7">
        <v>-6.73855</v>
      </c>
      <c r="I308" s="7">
        <v>-79.631600000000006</v>
      </c>
      <c r="J308" s="7" t="s">
        <v>71</v>
      </c>
      <c r="K308" s="7" t="s">
        <v>72</v>
      </c>
      <c r="L308" s="7" t="s">
        <v>540</v>
      </c>
      <c r="M308" s="10" t="s">
        <v>593</v>
      </c>
      <c r="N308" t="s">
        <v>650</v>
      </c>
      <c r="O308" s="10" t="s">
        <v>653</v>
      </c>
    </row>
    <row r="309" spans="1:15" ht="15.6" x14ac:dyDescent="0.3">
      <c r="A309" s="3">
        <v>308</v>
      </c>
      <c r="B309" s="4" t="s">
        <v>18</v>
      </c>
      <c r="C309" s="5" t="s">
        <v>541</v>
      </c>
      <c r="D309" s="5" t="str">
        <f t="shared" si="5"/>
        <v>LM_Kuviriani</v>
      </c>
      <c r="E309" s="7" t="s">
        <v>10</v>
      </c>
      <c r="F309" s="8">
        <v>46006</v>
      </c>
      <c r="G309" s="9" t="s">
        <v>11</v>
      </c>
      <c r="H309" s="7">
        <v>-12.2235</v>
      </c>
      <c r="I309" s="7">
        <v>-76.958500000000001</v>
      </c>
      <c r="J309" s="7" t="s">
        <v>12</v>
      </c>
      <c r="K309" s="7" t="s">
        <v>12</v>
      </c>
      <c r="L309" s="7" t="s">
        <v>542</v>
      </c>
      <c r="M309" s="10" t="s">
        <v>594</v>
      </c>
      <c r="N309" t="s">
        <v>651</v>
      </c>
      <c r="O309" s="10" t="s">
        <v>653</v>
      </c>
    </row>
    <row r="310" spans="1:15" ht="15.6" x14ac:dyDescent="0.3">
      <c r="A310" s="3">
        <v>309</v>
      </c>
      <c r="B310" s="4" t="s">
        <v>18</v>
      </c>
      <c r="C310" s="5" t="s">
        <v>543</v>
      </c>
      <c r="D310" s="5" t="str">
        <f t="shared" si="5"/>
        <v>LI_ShoreyChico</v>
      </c>
      <c r="E310" s="7" t="s">
        <v>10</v>
      </c>
      <c r="F310" s="8">
        <v>46006</v>
      </c>
      <c r="G310" s="9" t="s">
        <v>11</v>
      </c>
      <c r="H310" s="7">
        <v>-8.0120500000000003</v>
      </c>
      <c r="I310" s="7">
        <v>-78.339399999999998</v>
      </c>
      <c r="J310" s="7" t="s">
        <v>58</v>
      </c>
      <c r="K310" s="7" t="s">
        <v>431</v>
      </c>
      <c r="L310" s="7" t="s">
        <v>544</v>
      </c>
      <c r="M310" s="10" t="s">
        <v>593</v>
      </c>
      <c r="N310" t="s">
        <v>650</v>
      </c>
      <c r="O310" s="10" t="s">
        <v>653</v>
      </c>
    </row>
    <row r="311" spans="1:15" ht="15.6" x14ac:dyDescent="0.3">
      <c r="A311" s="3">
        <v>310</v>
      </c>
      <c r="B311" s="4" t="s">
        <v>18</v>
      </c>
      <c r="C311" s="5" t="s">
        <v>545</v>
      </c>
      <c r="D311" s="5" t="str">
        <f t="shared" si="5"/>
        <v>AQ_HeroesBrena</v>
      </c>
      <c r="E311" s="7" t="s">
        <v>10</v>
      </c>
      <c r="F311" s="8">
        <v>46007</v>
      </c>
      <c r="G311" s="9" t="s">
        <v>11</v>
      </c>
      <c r="H311" s="7">
        <v>-16.322900000000001</v>
      </c>
      <c r="I311" s="7">
        <v>-71.598200000000006</v>
      </c>
      <c r="J311" s="7" t="s">
        <v>20</v>
      </c>
      <c r="K311" s="7" t="s">
        <v>20</v>
      </c>
      <c r="L311" s="7" t="s">
        <v>21</v>
      </c>
      <c r="M311" s="10" t="s">
        <v>592</v>
      </c>
      <c r="N311" t="s">
        <v>650</v>
      </c>
      <c r="O311" s="10" t="s">
        <v>653</v>
      </c>
    </row>
    <row r="312" spans="1:15" ht="15.6" x14ac:dyDescent="0.3">
      <c r="A312" s="3">
        <v>311</v>
      </c>
      <c r="B312" s="4" t="s">
        <v>18</v>
      </c>
      <c r="C312" s="5" t="s">
        <v>546</v>
      </c>
      <c r="D312" s="5" t="str">
        <f t="shared" si="5"/>
        <v>LI_AbelardoDeHuanchaco</v>
      </c>
      <c r="E312" s="7" t="s">
        <v>10</v>
      </c>
      <c r="F312" s="8">
        <v>46007</v>
      </c>
      <c r="G312" s="9" t="s">
        <v>11</v>
      </c>
      <c r="H312" s="7">
        <v>-8.0495199999999993</v>
      </c>
      <c r="I312" s="7">
        <v>-79.080100000000002</v>
      </c>
      <c r="J312" s="7" t="s">
        <v>58</v>
      </c>
      <c r="K312" s="7" t="s">
        <v>138</v>
      </c>
      <c r="L312" s="7" t="s">
        <v>193</v>
      </c>
      <c r="M312" s="10" t="s">
        <v>593</v>
      </c>
      <c r="N312" t="s">
        <v>650</v>
      </c>
      <c r="O312" s="10" t="s">
        <v>653</v>
      </c>
    </row>
    <row r="313" spans="1:15" ht="15.6" x14ac:dyDescent="0.3">
      <c r="A313" s="3">
        <v>312</v>
      </c>
      <c r="B313" s="4" t="s">
        <v>18</v>
      </c>
      <c r="C313" s="5" t="s">
        <v>547</v>
      </c>
      <c r="D313" s="5" t="str">
        <f t="shared" si="5"/>
        <v>CA_DeportivoRosapampa</v>
      </c>
      <c r="E313" s="7" t="s">
        <v>10</v>
      </c>
      <c r="F313" s="8">
        <v>46008</v>
      </c>
      <c r="G313" s="9" t="s">
        <v>11</v>
      </c>
      <c r="H313" s="7">
        <v>-7.1174200000000001</v>
      </c>
      <c r="I313" s="7">
        <v>-78.453500000000005</v>
      </c>
      <c r="J313" s="7" t="s">
        <v>81</v>
      </c>
      <c r="K313" s="7" t="s">
        <v>81</v>
      </c>
      <c r="L313" s="7" t="s">
        <v>318</v>
      </c>
      <c r="M313" s="10" t="s">
        <v>592</v>
      </c>
      <c r="N313" t="s">
        <v>650</v>
      </c>
      <c r="O313" s="10" t="s">
        <v>654</v>
      </c>
    </row>
    <row r="314" spans="1:15" ht="15.6" x14ac:dyDescent="0.3">
      <c r="A314" s="3">
        <v>313</v>
      </c>
      <c r="B314" s="4" t="s">
        <v>260</v>
      </c>
      <c r="C314" s="5" t="s">
        <v>548</v>
      </c>
      <c r="D314" s="5" t="str">
        <f t="shared" si="5"/>
        <v>LM_UnanueDeGamarra</v>
      </c>
      <c r="E314" s="7" t="s">
        <v>10</v>
      </c>
      <c r="F314" s="8">
        <v>46008</v>
      </c>
      <c r="G314" s="9" t="s">
        <v>11</v>
      </c>
      <c r="H314" s="7">
        <v>-12.065099999999999</v>
      </c>
      <c r="I314" s="7">
        <v>-77.012100000000004</v>
      </c>
      <c r="J314" s="7" t="s">
        <v>12</v>
      </c>
      <c r="K314" s="7" t="s">
        <v>12</v>
      </c>
      <c r="L314" s="7" t="s">
        <v>456</v>
      </c>
      <c r="M314" s="10" t="s">
        <v>594</v>
      </c>
      <c r="N314" t="s">
        <v>651</v>
      </c>
      <c r="O314" s="10" t="s">
        <v>653</v>
      </c>
    </row>
    <row r="315" spans="1:15" ht="15.6" x14ac:dyDescent="0.3">
      <c r="A315" s="3">
        <v>314</v>
      </c>
      <c r="B315" s="4" t="s">
        <v>18</v>
      </c>
      <c r="C315" s="5" t="s">
        <v>549</v>
      </c>
      <c r="D315" s="5" t="str">
        <f t="shared" si="5"/>
        <v>AP_BarrioFonavi</v>
      </c>
      <c r="E315" s="7" t="s">
        <v>10</v>
      </c>
      <c r="F315" s="8">
        <v>46008</v>
      </c>
      <c r="G315" s="9" t="s">
        <v>11</v>
      </c>
      <c r="H315" s="7">
        <v>-13.632899999999999</v>
      </c>
      <c r="I315" s="7">
        <v>-72.893000000000001</v>
      </c>
      <c r="J315" s="7" t="s">
        <v>239</v>
      </c>
      <c r="K315" s="7" t="s">
        <v>550</v>
      </c>
      <c r="L315" s="7" t="s">
        <v>550</v>
      </c>
      <c r="M315" s="10" t="s">
        <v>596</v>
      </c>
      <c r="N315" t="s">
        <v>652</v>
      </c>
      <c r="O315" s="10" t="s">
        <v>653</v>
      </c>
    </row>
    <row r="316" spans="1:15" ht="15.6" x14ac:dyDescent="0.3">
      <c r="A316" s="3">
        <v>315</v>
      </c>
      <c r="B316" s="4" t="s">
        <v>18</v>
      </c>
      <c r="C316" s="5" t="s">
        <v>551</v>
      </c>
      <c r="D316" s="5" t="str">
        <f t="shared" si="5"/>
        <v>AQ_FloridaHunter</v>
      </c>
      <c r="E316" s="7" t="s">
        <v>10</v>
      </c>
      <c r="F316" s="8">
        <v>46009</v>
      </c>
      <c r="G316" s="9" t="s">
        <v>11</v>
      </c>
      <c r="H316" s="7">
        <v>-16.443300000000001</v>
      </c>
      <c r="I316" s="7">
        <v>-71.547300000000007</v>
      </c>
      <c r="J316" s="7" t="s">
        <v>20</v>
      </c>
      <c r="K316" s="7" t="s">
        <v>20</v>
      </c>
      <c r="L316" s="7" t="s">
        <v>216</v>
      </c>
      <c r="M316" s="10" t="s">
        <v>592</v>
      </c>
      <c r="N316" t="s">
        <v>650</v>
      </c>
      <c r="O316" s="10" t="s">
        <v>653</v>
      </c>
    </row>
    <row r="317" spans="1:15" ht="15.6" x14ac:dyDescent="0.3">
      <c r="A317" s="3">
        <v>316</v>
      </c>
      <c r="B317" s="4" t="s">
        <v>18</v>
      </c>
      <c r="C317" s="5" t="s">
        <v>552</v>
      </c>
      <c r="D317" s="5" t="str">
        <f t="shared" si="5"/>
        <v>LI_ElPorvenirCapirona</v>
      </c>
      <c r="E317" s="7" t="s">
        <v>10</v>
      </c>
      <c r="F317" s="8">
        <v>46009</v>
      </c>
      <c r="G317" s="9" t="s">
        <v>11</v>
      </c>
      <c r="H317" s="7">
        <v>-8.0578000000000003</v>
      </c>
      <c r="I317" s="7">
        <v>-78.988900000000001</v>
      </c>
      <c r="J317" s="7" t="s">
        <v>58</v>
      </c>
      <c r="K317" s="7" t="s">
        <v>138</v>
      </c>
      <c r="L317" s="7" t="s">
        <v>139</v>
      </c>
      <c r="M317" s="10" t="s">
        <v>593</v>
      </c>
      <c r="N317" t="s">
        <v>651</v>
      </c>
      <c r="O317" s="10" t="s">
        <v>653</v>
      </c>
    </row>
    <row r="318" spans="1:15" ht="15.6" x14ac:dyDescent="0.3">
      <c r="A318" s="3">
        <v>317</v>
      </c>
      <c r="B318" s="4" t="s">
        <v>18</v>
      </c>
      <c r="C318" s="5" t="s">
        <v>553</v>
      </c>
      <c r="D318" s="5" t="str">
        <f t="shared" si="5"/>
        <v>AQ_UlrichNeisser</v>
      </c>
      <c r="E318" s="7" t="s">
        <v>10</v>
      </c>
      <c r="F318" s="8">
        <v>46010</v>
      </c>
      <c r="G318" s="9" t="s">
        <v>11</v>
      </c>
      <c r="H318" s="7">
        <v>-16.374500000000001</v>
      </c>
      <c r="I318" s="7">
        <v>-71.506299999999996</v>
      </c>
      <c r="J318" s="7" t="s">
        <v>20</v>
      </c>
      <c r="K318" s="7" t="s">
        <v>20</v>
      </c>
      <c r="L318" s="7" t="s">
        <v>554</v>
      </c>
      <c r="M318" s="10" t="s">
        <v>592</v>
      </c>
      <c r="N318" t="s">
        <v>651</v>
      </c>
      <c r="O318" s="10" t="s">
        <v>653</v>
      </c>
    </row>
    <row r="319" spans="1:15" ht="15.6" x14ac:dyDescent="0.3">
      <c r="A319" s="3">
        <v>318</v>
      </c>
      <c r="B319" s="4" t="s">
        <v>18</v>
      </c>
      <c r="C319" s="5" t="s">
        <v>555</v>
      </c>
      <c r="D319" s="5" t="str">
        <f t="shared" si="5"/>
        <v>LA_LaEncenadaDeChiclayo</v>
      </c>
      <c r="E319" s="7" t="s">
        <v>10</v>
      </c>
      <c r="F319" s="8">
        <v>46011</v>
      </c>
      <c r="G319" s="9" t="s">
        <v>11</v>
      </c>
      <c r="H319" s="7">
        <v>-6.7918099999999999</v>
      </c>
      <c r="I319" s="7">
        <v>-79.895499999999998</v>
      </c>
      <c r="J319" s="7" t="s">
        <v>71</v>
      </c>
      <c r="K319" s="7" t="s">
        <v>72</v>
      </c>
      <c r="L319" s="7" t="s">
        <v>73</v>
      </c>
      <c r="M319" s="10" t="s">
        <v>593</v>
      </c>
      <c r="N319" t="s">
        <v>650</v>
      </c>
      <c r="O319" s="10" t="s">
        <v>653</v>
      </c>
    </row>
    <row r="320" spans="1:15" ht="15.6" x14ac:dyDescent="0.3">
      <c r="A320" s="3">
        <v>319</v>
      </c>
      <c r="B320" s="4" t="s">
        <v>260</v>
      </c>
      <c r="C320" s="5" t="s">
        <v>556</v>
      </c>
      <c r="D320" s="5" t="str">
        <f t="shared" si="5"/>
        <v>JU_Hilser</v>
      </c>
      <c r="E320" s="7" t="s">
        <v>10</v>
      </c>
      <c r="F320" s="8">
        <v>46013</v>
      </c>
      <c r="G320" s="9" t="s">
        <v>11</v>
      </c>
      <c r="H320" s="7">
        <v>-11.2628</v>
      </c>
      <c r="I320" s="7">
        <v>-74.641800000000003</v>
      </c>
      <c r="J320" s="7" t="s">
        <v>23</v>
      </c>
      <c r="K320" s="7" t="s">
        <v>47</v>
      </c>
      <c r="L320" s="7" t="s">
        <v>47</v>
      </c>
      <c r="M320" s="10" t="s">
        <v>593</v>
      </c>
      <c r="N320" t="s">
        <v>650</v>
      </c>
      <c r="O320" s="10" t="s">
        <v>653</v>
      </c>
    </row>
    <row r="321" spans="1:15" ht="15.6" x14ac:dyDescent="0.3">
      <c r="A321" s="3">
        <v>320</v>
      </c>
      <c r="B321" s="4" t="s">
        <v>18</v>
      </c>
      <c r="C321" s="5" t="s">
        <v>557</v>
      </c>
      <c r="D321" s="5" t="str">
        <f t="shared" si="5"/>
        <v>LM_LasCascadas</v>
      </c>
      <c r="E321" s="7" t="s">
        <v>10</v>
      </c>
      <c r="F321" s="8">
        <v>46014</v>
      </c>
      <c r="G321" s="9" t="s">
        <v>11</v>
      </c>
      <c r="H321" s="7">
        <v>-12.1088</v>
      </c>
      <c r="I321" s="7">
        <v>-76.882400000000004</v>
      </c>
      <c r="J321" s="7" t="s">
        <v>12</v>
      </c>
      <c r="K321" s="7" t="s">
        <v>12</v>
      </c>
      <c r="L321" s="7" t="s">
        <v>142</v>
      </c>
      <c r="M321" s="10" t="s">
        <v>594</v>
      </c>
      <c r="N321" t="s">
        <v>651</v>
      </c>
      <c r="O321" s="10" t="s">
        <v>653</v>
      </c>
    </row>
    <row r="322" spans="1:15" ht="15.6" x14ac:dyDescent="0.3">
      <c r="A322" s="3">
        <v>321</v>
      </c>
      <c r="B322" s="4" t="s">
        <v>18</v>
      </c>
      <c r="C322" s="5" t="s">
        <v>558</v>
      </c>
      <c r="D322" s="5" t="str">
        <f t="shared" si="5"/>
        <v>AQ_VillaVerde</v>
      </c>
      <c r="E322" s="7" t="s">
        <v>10</v>
      </c>
      <c r="F322" s="8">
        <v>46014</v>
      </c>
      <c r="G322" s="9" t="s">
        <v>11</v>
      </c>
      <c r="H322" s="7">
        <v>-16.3889</v>
      </c>
      <c r="I322" s="7">
        <v>-71.562299999999993</v>
      </c>
      <c r="J322" s="7" t="s">
        <v>20</v>
      </c>
      <c r="K322" s="7" t="s">
        <v>20</v>
      </c>
      <c r="L322" s="7" t="s">
        <v>21</v>
      </c>
      <c r="M322" s="10" t="s">
        <v>592</v>
      </c>
      <c r="N322" t="s">
        <v>650</v>
      </c>
      <c r="O322" s="10" t="s">
        <v>653</v>
      </c>
    </row>
    <row r="323" spans="1:15" ht="15.6" x14ac:dyDescent="0.3">
      <c r="A323" s="3">
        <v>322</v>
      </c>
      <c r="B323" s="4" t="s">
        <v>18</v>
      </c>
      <c r="C323" s="5" t="s">
        <v>559</v>
      </c>
      <c r="D323" s="5" t="str">
        <f t="shared" si="5"/>
        <v>LI_Kauffman</v>
      </c>
      <c r="E323" s="7" t="s">
        <v>10</v>
      </c>
      <c r="F323" s="8">
        <v>46020</v>
      </c>
      <c r="G323" s="9" t="s">
        <v>11</v>
      </c>
      <c r="H323" s="7">
        <v>-7.4141300000000001</v>
      </c>
      <c r="I323" s="7">
        <v>-79.564099999999996</v>
      </c>
      <c r="J323" s="7" t="s">
        <v>58</v>
      </c>
      <c r="K323" s="7" t="s">
        <v>365</v>
      </c>
      <c r="L323" s="7" t="s">
        <v>365</v>
      </c>
      <c r="M323" s="10" t="s">
        <v>593</v>
      </c>
      <c r="N323" t="s">
        <v>650</v>
      </c>
      <c r="O323" s="10" t="s">
        <v>653</v>
      </c>
    </row>
    <row r="324" spans="1:15" ht="15.6" x14ac:dyDescent="0.3">
      <c r="A324" s="3">
        <v>323</v>
      </c>
      <c r="B324" s="4" t="s">
        <v>18</v>
      </c>
      <c r="C324" s="5" t="s">
        <v>560</v>
      </c>
      <c r="D324" s="5" t="str">
        <f t="shared" si="5"/>
        <v>SM_AltoMayo</v>
      </c>
      <c r="E324" s="7" t="s">
        <v>10</v>
      </c>
      <c r="F324" s="8">
        <v>46020</v>
      </c>
      <c r="G324" s="9" t="s">
        <v>11</v>
      </c>
      <c r="H324" s="7">
        <v>-6.0131399999999999</v>
      </c>
      <c r="I324" s="7">
        <v>-76.993799999999993</v>
      </c>
      <c r="J324" s="7" t="s">
        <v>195</v>
      </c>
      <c r="K324" s="7" t="s">
        <v>561</v>
      </c>
      <c r="L324" s="7" t="s">
        <v>561</v>
      </c>
      <c r="M324" s="10" t="s">
        <v>595</v>
      </c>
      <c r="N324" t="s">
        <v>650</v>
      </c>
      <c r="O324" s="10" t="s">
        <v>653</v>
      </c>
    </row>
    <row r="325" spans="1:15" ht="15.6" x14ac:dyDescent="0.3">
      <c r="A325" s="3">
        <v>324</v>
      </c>
      <c r="B325" s="4" t="s">
        <v>18</v>
      </c>
      <c r="C325" s="5" t="s">
        <v>579</v>
      </c>
      <c r="D325" s="5" t="str">
        <f t="shared" si="5"/>
        <v>PI_Lanchepampa</v>
      </c>
      <c r="E325" s="7" t="s">
        <v>10</v>
      </c>
      <c r="F325" s="8">
        <v>46020</v>
      </c>
      <c r="G325" s="9" t="s">
        <v>11</v>
      </c>
      <c r="H325" s="7">
        <v>-5.0383500000000003</v>
      </c>
      <c r="I325" s="7">
        <v>-79.7881</v>
      </c>
      <c r="J325" s="7" t="s">
        <v>53</v>
      </c>
      <c r="K325" s="7" t="s">
        <v>164</v>
      </c>
      <c r="L325" s="7" t="s">
        <v>580</v>
      </c>
      <c r="M325" s="10" t="s">
        <v>593</v>
      </c>
      <c r="N325" t="s">
        <v>650</v>
      </c>
      <c r="O325" s="10" t="s">
        <v>653</v>
      </c>
    </row>
    <row r="326" spans="1:15" ht="15.6" x14ac:dyDescent="0.3">
      <c r="A326" s="3">
        <v>325</v>
      </c>
      <c r="B326" s="4" t="s">
        <v>260</v>
      </c>
      <c r="C326" s="5" t="s">
        <v>562</v>
      </c>
      <c r="D326" s="5" t="str">
        <f t="shared" si="5"/>
        <v>SM_PolideportivoSJSisa</v>
      </c>
      <c r="E326" s="7" t="s">
        <v>10</v>
      </c>
      <c r="F326" s="8">
        <v>46021</v>
      </c>
      <c r="G326" s="9" t="s">
        <v>354</v>
      </c>
      <c r="H326" s="7">
        <v>-6.6130599999999999</v>
      </c>
      <c r="I326" s="7">
        <v>-76.691999999999993</v>
      </c>
      <c r="J326" s="7" t="s">
        <v>195</v>
      </c>
      <c r="K326" s="7" t="s">
        <v>563</v>
      </c>
      <c r="L326" s="7" t="s">
        <v>564</v>
      </c>
      <c r="M326" s="10" t="s">
        <v>595</v>
      </c>
      <c r="N326" t="s">
        <v>650</v>
      </c>
      <c r="O326" s="10" t="s">
        <v>653</v>
      </c>
    </row>
    <row r="327" spans="1:15" ht="15.6" x14ac:dyDescent="0.3">
      <c r="A327" s="3">
        <v>326</v>
      </c>
      <c r="B327" s="4" t="s">
        <v>18</v>
      </c>
      <c r="C327" s="5" t="s">
        <v>565</v>
      </c>
      <c r="D327" s="5" t="str">
        <f t="shared" si="5"/>
        <v>LM_ParqueLosNinos</v>
      </c>
      <c r="E327" s="7" t="s">
        <v>10</v>
      </c>
      <c r="F327" s="8">
        <v>46021</v>
      </c>
      <c r="G327" s="9" t="s">
        <v>354</v>
      </c>
      <c r="H327" s="7">
        <v>-12.2394</v>
      </c>
      <c r="I327" s="7">
        <v>-76.918999999999997</v>
      </c>
      <c r="J327" s="7" t="s">
        <v>12</v>
      </c>
      <c r="K327" s="7" t="s">
        <v>12</v>
      </c>
      <c r="L327" s="7" t="s">
        <v>542</v>
      </c>
      <c r="M327" s="10" t="s">
        <v>594</v>
      </c>
      <c r="N327" t="s">
        <v>650</v>
      </c>
      <c r="O327" s="10" t="s">
        <v>653</v>
      </c>
    </row>
    <row r="328" spans="1:15" ht="15.6" x14ac:dyDescent="0.3">
      <c r="A328" s="3">
        <v>327</v>
      </c>
      <c r="B328" s="4" t="s">
        <v>18</v>
      </c>
      <c r="C328" s="5" t="s">
        <v>566</v>
      </c>
      <c r="D328" s="5" t="str">
        <f t="shared" si="5"/>
        <v>LA_Galo</v>
      </c>
      <c r="E328" s="7" t="s">
        <v>10</v>
      </c>
      <c r="F328" s="8">
        <v>46021</v>
      </c>
      <c r="G328" s="9" t="s">
        <v>354</v>
      </c>
      <c r="H328" s="7">
        <v>-6.7479500000000003</v>
      </c>
      <c r="I328" s="7">
        <v>-79.808300000000003</v>
      </c>
      <c r="J328" s="7" t="s">
        <v>71</v>
      </c>
      <c r="K328" s="7" t="s">
        <v>72</v>
      </c>
      <c r="L328" s="7" t="s">
        <v>445</v>
      </c>
      <c r="M328" s="10" t="s">
        <v>593</v>
      </c>
      <c r="N328" t="s">
        <v>650</v>
      </c>
      <c r="O328" s="10" t="s">
        <v>653</v>
      </c>
    </row>
    <row r="329" spans="1:15" ht="15.6" x14ac:dyDescent="0.3">
      <c r="A329" s="3">
        <v>328</v>
      </c>
      <c r="B329" s="4" t="s">
        <v>18</v>
      </c>
      <c r="C329" s="5" t="s">
        <v>567</v>
      </c>
      <c r="D329" s="5" t="str">
        <f t="shared" ref="D329:D350" si="6">+RIGHT(C329,LEN(C329)-10)</f>
        <v>LA_Cayalti</v>
      </c>
      <c r="E329" s="7" t="s">
        <v>10</v>
      </c>
      <c r="F329" s="8">
        <v>46021</v>
      </c>
      <c r="G329" s="9" t="s">
        <v>354</v>
      </c>
      <c r="H329" s="7">
        <v>-6.8823800000000004</v>
      </c>
      <c r="I329" s="7">
        <v>-79.552099999999996</v>
      </c>
      <c r="J329" s="7" t="s">
        <v>71</v>
      </c>
      <c r="K329" s="7" t="s">
        <v>72</v>
      </c>
      <c r="L329" s="7" t="s">
        <v>568</v>
      </c>
      <c r="M329" s="10" t="s">
        <v>593</v>
      </c>
      <c r="N329" t="s">
        <v>650</v>
      </c>
      <c r="O329" s="10" t="s">
        <v>653</v>
      </c>
    </row>
    <row r="330" spans="1:15" ht="15.6" x14ac:dyDescent="0.3">
      <c r="A330" s="3">
        <v>329</v>
      </c>
      <c r="B330" s="4" t="s">
        <v>260</v>
      </c>
      <c r="C330" s="5" t="s">
        <v>569</v>
      </c>
      <c r="D330" s="5" t="str">
        <f t="shared" si="6"/>
        <v>CS_ParqueCachimayo</v>
      </c>
      <c r="E330" s="7" t="s">
        <v>10</v>
      </c>
      <c r="F330" s="8">
        <v>46022</v>
      </c>
      <c r="G330" s="9" t="s">
        <v>354</v>
      </c>
      <c r="H330" s="7">
        <v>-13.5349</v>
      </c>
      <c r="I330" s="7">
        <v>-71.910399999999996</v>
      </c>
      <c r="J330" s="7" t="s">
        <v>26</v>
      </c>
      <c r="K330" s="7" t="s">
        <v>26</v>
      </c>
      <c r="L330" s="7" t="s">
        <v>174</v>
      </c>
      <c r="M330" s="10" t="s">
        <v>592</v>
      </c>
      <c r="N330" t="s">
        <v>650</v>
      </c>
      <c r="O330" s="10" t="s">
        <v>653</v>
      </c>
    </row>
    <row r="331" spans="1:15" ht="15.6" x14ac:dyDescent="0.3">
      <c r="A331" s="3">
        <v>330</v>
      </c>
      <c r="B331" s="4" t="s">
        <v>18</v>
      </c>
      <c r="C331" s="5" t="s">
        <v>570</v>
      </c>
      <c r="D331" s="5" t="str">
        <f t="shared" si="6"/>
        <v>AQ_LosRobles</v>
      </c>
      <c r="E331" s="7" t="s">
        <v>10</v>
      </c>
      <c r="F331" s="8">
        <v>46022</v>
      </c>
      <c r="G331" s="9" t="s">
        <v>354</v>
      </c>
      <c r="H331" s="7">
        <v>-16.407299999999999</v>
      </c>
      <c r="I331" s="7">
        <v>-71.478300000000004</v>
      </c>
      <c r="J331" s="7" t="s">
        <v>20</v>
      </c>
      <c r="K331" s="7" t="s">
        <v>20</v>
      </c>
      <c r="L331" s="7" t="s">
        <v>45</v>
      </c>
      <c r="M331" s="10" t="s">
        <v>592</v>
      </c>
      <c r="N331" t="s">
        <v>651</v>
      </c>
      <c r="O331" s="10" t="s">
        <v>653</v>
      </c>
    </row>
    <row r="332" spans="1:15" ht="15.6" x14ac:dyDescent="0.3">
      <c r="A332" s="3">
        <v>331</v>
      </c>
      <c r="B332" s="4" t="s">
        <v>18</v>
      </c>
      <c r="C332" s="5" t="s">
        <v>610</v>
      </c>
      <c r="D332" s="5" t="str">
        <f t="shared" si="6"/>
        <v>LA_Culpon</v>
      </c>
      <c r="E332" s="7" t="s">
        <v>10</v>
      </c>
      <c r="F332" s="8">
        <v>46022</v>
      </c>
      <c r="G332" s="9" t="s">
        <v>354</v>
      </c>
      <c r="H332" s="7">
        <v>-6.7374000000000001</v>
      </c>
      <c r="I332" s="7">
        <v>-79.850899999999996</v>
      </c>
      <c r="J332" s="7" t="s">
        <v>71</v>
      </c>
      <c r="K332" s="7" t="s">
        <v>72</v>
      </c>
      <c r="L332" s="7" t="s">
        <v>445</v>
      </c>
      <c r="M332" s="10" t="s">
        <v>593</v>
      </c>
      <c r="N332" t="s">
        <v>650</v>
      </c>
      <c r="O332" s="10" t="s">
        <v>653</v>
      </c>
    </row>
    <row r="333" spans="1:15" ht="15.6" x14ac:dyDescent="0.3">
      <c r="A333" s="3">
        <v>332</v>
      </c>
      <c r="B333" s="4" t="s">
        <v>18</v>
      </c>
      <c r="C333" s="5" t="s">
        <v>571</v>
      </c>
      <c r="D333" s="5" t="str">
        <f t="shared" si="6"/>
        <v>IC_LuisaDeLasArenas</v>
      </c>
      <c r="E333" s="7" t="s">
        <v>10</v>
      </c>
      <c r="F333" s="8">
        <v>46022</v>
      </c>
      <c r="G333" s="9" t="s">
        <v>354</v>
      </c>
      <c r="H333" s="7">
        <v>-14.052099999999999</v>
      </c>
      <c r="I333" s="7">
        <v>-75.731499999999997</v>
      </c>
      <c r="J333" s="7" t="s">
        <v>83</v>
      </c>
      <c r="K333" s="7" t="s">
        <v>83</v>
      </c>
      <c r="L333" s="7" t="s">
        <v>83</v>
      </c>
      <c r="M333" s="10" t="s">
        <v>593</v>
      </c>
      <c r="N333" t="s">
        <v>650</v>
      </c>
      <c r="O333" s="10" t="s">
        <v>653</v>
      </c>
    </row>
    <row r="334" spans="1:15" ht="15.6" x14ac:dyDescent="0.3">
      <c r="A334" s="3">
        <v>333</v>
      </c>
      <c r="B334" s="4" t="s">
        <v>18</v>
      </c>
      <c r="C334" s="5" t="s">
        <v>572</v>
      </c>
      <c r="D334" s="5" t="str">
        <f t="shared" si="6"/>
        <v>JU_Genos</v>
      </c>
      <c r="E334" s="7" t="s">
        <v>10</v>
      </c>
      <c r="F334" s="8">
        <v>46022</v>
      </c>
      <c r="G334" s="9" t="s">
        <v>354</v>
      </c>
      <c r="H334" s="7">
        <v>-11.150600000000001</v>
      </c>
      <c r="I334" s="7">
        <v>-75.995099999999994</v>
      </c>
      <c r="J334" s="7" t="s">
        <v>23</v>
      </c>
      <c r="K334" s="7" t="s">
        <v>23</v>
      </c>
      <c r="L334" s="7" t="s">
        <v>573</v>
      </c>
      <c r="M334" s="10" t="s">
        <v>593</v>
      </c>
      <c r="N334" t="s">
        <v>650</v>
      </c>
      <c r="O334" s="10" t="s">
        <v>653</v>
      </c>
    </row>
    <row r="335" spans="1:15" ht="15.6" x14ac:dyDescent="0.3">
      <c r="A335" s="3">
        <v>334</v>
      </c>
      <c r="B335" s="4" t="s">
        <v>18</v>
      </c>
      <c r="C335" s="5" t="s">
        <v>574</v>
      </c>
      <c r="D335" s="5" t="str">
        <f t="shared" si="6"/>
        <v>PN_ModestoBorda</v>
      </c>
      <c r="E335" s="7" t="s">
        <v>10</v>
      </c>
      <c r="F335" s="8">
        <v>46022</v>
      </c>
      <c r="G335" s="9" t="s">
        <v>354</v>
      </c>
      <c r="H335" s="7">
        <v>-15.5055</v>
      </c>
      <c r="I335" s="7">
        <v>-70.106999999999999</v>
      </c>
      <c r="J335" s="7" t="s">
        <v>126</v>
      </c>
      <c r="K335" s="7" t="s">
        <v>128</v>
      </c>
      <c r="L335" s="7" t="s">
        <v>129</v>
      </c>
      <c r="M335" s="10" t="s">
        <v>592</v>
      </c>
      <c r="N335" t="s">
        <v>650</v>
      </c>
      <c r="O335" s="10" t="s">
        <v>653</v>
      </c>
    </row>
    <row r="336" spans="1:15" ht="15.6" x14ac:dyDescent="0.3">
      <c r="A336" s="3">
        <v>335</v>
      </c>
      <c r="B336" s="4" t="s">
        <v>18</v>
      </c>
      <c r="C336" s="5" t="s">
        <v>619</v>
      </c>
      <c r="D336" s="5" t="str">
        <f t="shared" si="6"/>
        <v>IC_SanPedroPilpa</v>
      </c>
      <c r="E336" s="7" t="s">
        <v>10</v>
      </c>
      <c r="F336" s="8">
        <v>46022</v>
      </c>
      <c r="G336" s="9" t="s">
        <v>354</v>
      </c>
      <c r="H336" s="7">
        <v>-13.416700000000001</v>
      </c>
      <c r="I336" s="7">
        <v>-76.169300000000007</v>
      </c>
      <c r="J336" s="7" t="s">
        <v>83</v>
      </c>
      <c r="K336" s="7" t="s">
        <v>210</v>
      </c>
      <c r="L336" s="7" t="s">
        <v>575</v>
      </c>
      <c r="M336" s="10" t="s">
        <v>593</v>
      </c>
      <c r="N336" t="s">
        <v>650</v>
      </c>
      <c r="O336" s="10" t="s">
        <v>653</v>
      </c>
    </row>
    <row r="337" spans="1:15" ht="15.6" x14ac:dyDescent="0.3">
      <c r="A337" s="3">
        <v>336</v>
      </c>
      <c r="B337" s="4" t="s">
        <v>260</v>
      </c>
      <c r="C337" s="5" t="s">
        <v>576</v>
      </c>
      <c r="D337" s="5" t="str">
        <f t="shared" si="6"/>
        <v>LM_RealPlazaSantaClara</v>
      </c>
      <c r="E337" s="7" t="s">
        <v>10</v>
      </c>
      <c r="F337" s="8">
        <v>46024</v>
      </c>
      <c r="G337" s="9" t="s">
        <v>354</v>
      </c>
      <c r="H337" s="7">
        <v>-12.0145</v>
      </c>
      <c r="I337" s="7">
        <v>-76.886300000000006</v>
      </c>
      <c r="J337" s="7" t="s">
        <v>12</v>
      </c>
      <c r="K337" s="7" t="s">
        <v>12</v>
      </c>
      <c r="L337" s="7" t="s">
        <v>207</v>
      </c>
      <c r="M337" s="10" t="s">
        <v>594</v>
      </c>
      <c r="N337" t="s">
        <v>650</v>
      </c>
      <c r="O337" s="10" t="s">
        <v>653</v>
      </c>
    </row>
    <row r="338" spans="1:15" ht="15.6" x14ac:dyDescent="0.3">
      <c r="A338" s="3">
        <v>337</v>
      </c>
      <c r="B338" s="4" t="s">
        <v>18</v>
      </c>
      <c r="C338" s="5" t="s">
        <v>577</v>
      </c>
      <c r="D338" s="5" t="str">
        <f t="shared" si="6"/>
        <v>LA_AhMirafloresDePomalca*</v>
      </c>
      <c r="E338" s="7" t="s">
        <v>10</v>
      </c>
      <c r="F338" s="8">
        <v>46024</v>
      </c>
      <c r="G338" s="9" t="s">
        <v>354</v>
      </c>
      <c r="H338" s="7">
        <v>-6.7715800000000002</v>
      </c>
      <c r="I338" s="7">
        <v>-79.769199999999998</v>
      </c>
      <c r="J338" s="7" t="s">
        <v>71</v>
      </c>
      <c r="K338" s="7" t="s">
        <v>72</v>
      </c>
      <c r="L338" s="7" t="s">
        <v>578</v>
      </c>
      <c r="M338" s="10" t="s">
        <v>593</v>
      </c>
      <c r="N338" t="s">
        <v>650</v>
      </c>
      <c r="O338" s="10" t="s">
        <v>653</v>
      </c>
    </row>
    <row r="339" spans="1:15" ht="15.6" x14ac:dyDescent="0.3">
      <c r="A339" s="3">
        <v>338</v>
      </c>
      <c r="B339" s="4" t="s">
        <v>18</v>
      </c>
      <c r="C339" s="5" t="s">
        <v>586</v>
      </c>
      <c r="D339" s="5" t="str">
        <f t="shared" si="6"/>
        <v>LM_Fontenoy</v>
      </c>
      <c r="E339" s="7" t="s">
        <v>10</v>
      </c>
      <c r="F339" s="8">
        <v>46024</v>
      </c>
      <c r="G339" s="9" t="s">
        <v>11</v>
      </c>
      <c r="H339" s="7">
        <v>-10.6761</v>
      </c>
      <c r="I339" s="7">
        <v>-77.8262</v>
      </c>
      <c r="J339" s="7" t="s">
        <v>12</v>
      </c>
      <c r="K339" s="7" t="s">
        <v>153</v>
      </c>
      <c r="L339" s="7" t="s">
        <v>587</v>
      </c>
      <c r="M339" s="10" t="s">
        <v>594</v>
      </c>
      <c r="N339" t="s">
        <v>650</v>
      </c>
      <c r="O339" s="10" t="s">
        <v>653</v>
      </c>
    </row>
    <row r="340" spans="1:15" ht="15.6" x14ac:dyDescent="0.3">
      <c r="A340" s="3">
        <v>339</v>
      </c>
      <c r="B340" s="4" t="s">
        <v>18</v>
      </c>
      <c r="C340" s="5" t="s">
        <v>581</v>
      </c>
      <c r="D340" s="5" t="str">
        <f t="shared" si="6"/>
        <v>PN_ParqueSelvaAlegre</v>
      </c>
      <c r="E340" s="7" t="s">
        <v>10</v>
      </c>
      <c r="F340" s="8">
        <v>46026</v>
      </c>
      <c r="G340" s="9" t="s">
        <v>11</v>
      </c>
      <c r="H340" s="7">
        <v>-15.497199999999999</v>
      </c>
      <c r="I340" s="7">
        <v>-70.151499999999999</v>
      </c>
      <c r="J340" s="7" t="s">
        <v>126</v>
      </c>
      <c r="K340" s="7" t="s">
        <v>128</v>
      </c>
      <c r="L340" s="7" t="s">
        <v>129</v>
      </c>
      <c r="M340" s="10" t="s">
        <v>592</v>
      </c>
      <c r="N340" t="s">
        <v>650</v>
      </c>
      <c r="O340" s="10" t="s">
        <v>653</v>
      </c>
    </row>
    <row r="341" spans="1:15" ht="15.6" x14ac:dyDescent="0.3">
      <c r="A341" s="3">
        <v>340</v>
      </c>
      <c r="B341" s="4" t="s">
        <v>18</v>
      </c>
      <c r="C341" s="5" t="s">
        <v>582</v>
      </c>
      <c r="D341" s="5" t="str">
        <f t="shared" si="6"/>
        <v>CA_AltoChota</v>
      </c>
      <c r="E341" s="7" t="s">
        <v>10</v>
      </c>
      <c r="F341" s="8">
        <v>46026</v>
      </c>
      <c r="G341" s="9" t="s">
        <v>11</v>
      </c>
      <c r="H341" s="7">
        <v>-6.5490700000000004</v>
      </c>
      <c r="I341" s="7">
        <v>-78.6464</v>
      </c>
      <c r="J341" s="7" t="s">
        <v>81</v>
      </c>
      <c r="K341" s="7" t="s">
        <v>259</v>
      </c>
      <c r="L341" s="7" t="s">
        <v>259</v>
      </c>
      <c r="M341" s="10" t="s">
        <v>592</v>
      </c>
      <c r="N341" t="s">
        <v>650</v>
      </c>
      <c r="O341" s="10" t="s">
        <v>653</v>
      </c>
    </row>
    <row r="342" spans="1:15" ht="15.6" x14ac:dyDescent="0.3">
      <c r="A342" s="3">
        <v>341</v>
      </c>
      <c r="B342" s="4" t="s">
        <v>18</v>
      </c>
      <c r="C342" s="5" t="s">
        <v>583</v>
      </c>
      <c r="D342" s="5" t="str">
        <f t="shared" si="6"/>
        <v>AQ_PlayaMollendo</v>
      </c>
      <c r="E342" s="7" t="s">
        <v>10</v>
      </c>
      <c r="F342" s="8">
        <v>46027</v>
      </c>
      <c r="G342" s="9" t="s">
        <v>11</v>
      </c>
      <c r="H342" s="7">
        <v>-17.0306</v>
      </c>
      <c r="I342" s="7">
        <v>-72.009200000000007</v>
      </c>
      <c r="J342" s="7" t="s">
        <v>20</v>
      </c>
      <c r="K342" s="7" t="s">
        <v>218</v>
      </c>
      <c r="L342" s="7" t="s">
        <v>219</v>
      </c>
      <c r="M342" s="10" t="s">
        <v>592</v>
      </c>
      <c r="N342" t="s">
        <v>651</v>
      </c>
      <c r="O342" s="10" t="s">
        <v>653</v>
      </c>
    </row>
    <row r="343" spans="1:15" ht="15.6" x14ac:dyDescent="0.3">
      <c r="A343" s="3">
        <v>342</v>
      </c>
      <c r="B343" s="4" t="s">
        <v>18</v>
      </c>
      <c r="C343" s="5" t="s">
        <v>584</v>
      </c>
      <c r="D343" s="5" t="str">
        <f t="shared" si="6"/>
        <v>AN_HuambachoNuevo</v>
      </c>
      <c r="E343" s="7" t="s">
        <v>10</v>
      </c>
      <c r="F343" s="8">
        <v>46027</v>
      </c>
      <c r="G343" s="9" t="s">
        <v>11</v>
      </c>
      <c r="H343" s="7">
        <v>-9.2558500000000006</v>
      </c>
      <c r="I343" s="7">
        <v>-78.430999999999997</v>
      </c>
      <c r="J343" s="7" t="s">
        <v>122</v>
      </c>
      <c r="K343" s="7" t="s">
        <v>160</v>
      </c>
      <c r="L343" s="7" t="s">
        <v>585</v>
      </c>
      <c r="M343" s="10" t="s">
        <v>593</v>
      </c>
      <c r="N343" t="s">
        <v>650</v>
      </c>
      <c r="O343" s="10" t="s">
        <v>653</v>
      </c>
    </row>
    <row r="344" spans="1:15" ht="15.6" x14ac:dyDescent="0.3">
      <c r="A344" s="3">
        <v>343</v>
      </c>
      <c r="B344" s="4" t="s">
        <v>599</v>
      </c>
      <c r="C344" s="5" t="s">
        <v>604</v>
      </c>
      <c r="D344" s="5" t="str">
        <f t="shared" si="6"/>
        <v>IC_ElPaltoAdan</v>
      </c>
      <c r="E344" s="7" t="s">
        <v>10</v>
      </c>
      <c r="F344" s="8">
        <v>46035</v>
      </c>
      <c r="G344" s="9" t="s">
        <v>11</v>
      </c>
      <c r="H344" s="7">
        <v>-13.682399999999999</v>
      </c>
      <c r="I344" s="7">
        <v>-76.061300000000003</v>
      </c>
      <c r="J344" s="7" t="s">
        <v>83</v>
      </c>
      <c r="K344" s="7" t="s">
        <v>117</v>
      </c>
      <c r="L344" s="7" t="s">
        <v>242</v>
      </c>
      <c r="M344" s="10" t="s">
        <v>593</v>
      </c>
      <c r="N344" t="s">
        <v>650</v>
      </c>
      <c r="O344" s="10" t="s">
        <v>653</v>
      </c>
    </row>
    <row r="345" spans="1:15" ht="15.6" x14ac:dyDescent="0.3">
      <c r="A345" s="3">
        <v>344</v>
      </c>
      <c r="B345" s="4" t="s">
        <v>599</v>
      </c>
      <c r="C345" s="5" t="s">
        <v>605</v>
      </c>
      <c r="D345" s="5" t="str">
        <f t="shared" si="6"/>
        <v>LA_CharlesConrra</v>
      </c>
      <c r="E345" s="7" t="s">
        <v>10</v>
      </c>
      <c r="F345" s="8">
        <v>46042</v>
      </c>
      <c r="G345" s="9" t="s">
        <v>11</v>
      </c>
      <c r="H345" s="7">
        <v>-6.7469599999999996</v>
      </c>
      <c r="I345" s="7">
        <v>-79.826499999999996</v>
      </c>
      <c r="J345" s="7" t="s">
        <v>71</v>
      </c>
      <c r="K345" s="7" t="s">
        <v>72</v>
      </c>
      <c r="L345" s="7" t="s">
        <v>445</v>
      </c>
      <c r="M345" s="10" t="s">
        <v>593</v>
      </c>
      <c r="N345" t="s">
        <v>650</v>
      </c>
      <c r="O345" s="10" t="s">
        <v>653</v>
      </c>
    </row>
    <row r="346" spans="1:15" ht="15.6" x14ac:dyDescent="0.3">
      <c r="A346" s="3">
        <v>345</v>
      </c>
      <c r="B346" s="4" t="s">
        <v>599</v>
      </c>
      <c r="C346" s="5" t="s">
        <v>608</v>
      </c>
      <c r="D346" s="5" t="str">
        <f t="shared" si="6"/>
        <v>PI_ViaSalitral</v>
      </c>
      <c r="E346" s="7" t="s">
        <v>10</v>
      </c>
      <c r="F346" s="8">
        <v>46042</v>
      </c>
      <c r="G346" s="9" t="s">
        <v>11</v>
      </c>
      <c r="H346" s="7">
        <v>-4.8461600000000002</v>
      </c>
      <c r="I346" s="7">
        <v>-80.67</v>
      </c>
      <c r="J346" s="7" t="s">
        <v>53</v>
      </c>
      <c r="K346" s="7" t="s">
        <v>78</v>
      </c>
      <c r="L346" s="7" t="s">
        <v>616</v>
      </c>
      <c r="M346" s="10" t="s">
        <v>593</v>
      </c>
      <c r="N346" t="s">
        <v>650</v>
      </c>
      <c r="O346" s="10" t="s">
        <v>653</v>
      </c>
    </row>
    <row r="347" spans="1:15" ht="15.6" x14ac:dyDescent="0.3">
      <c r="A347" s="3">
        <v>346</v>
      </c>
      <c r="B347" s="4" t="s">
        <v>599</v>
      </c>
      <c r="C347" s="5" t="s">
        <v>602</v>
      </c>
      <c r="D347" s="5" t="str">
        <f t="shared" si="6"/>
        <v>LM_PalmaAlta</v>
      </c>
      <c r="E347" s="7" t="s">
        <v>10</v>
      </c>
      <c r="F347" s="8">
        <v>46043</v>
      </c>
      <c r="G347" s="9" t="s">
        <v>11</v>
      </c>
      <c r="H347" s="7">
        <v>-12.7902</v>
      </c>
      <c r="I347" s="7">
        <v>-76.574200000000005</v>
      </c>
      <c r="J347" s="7" t="s">
        <v>12</v>
      </c>
      <c r="K347" s="7" t="s">
        <v>16</v>
      </c>
      <c r="L347" s="7" t="s">
        <v>613</v>
      </c>
      <c r="M347" s="10" t="s">
        <v>594</v>
      </c>
      <c r="N347" t="s">
        <v>650</v>
      </c>
      <c r="O347" s="10" t="s">
        <v>653</v>
      </c>
    </row>
    <row r="348" spans="1:15" ht="15.6" x14ac:dyDescent="0.3">
      <c r="A348" s="3">
        <v>347</v>
      </c>
      <c r="B348" s="4" t="s">
        <v>600</v>
      </c>
      <c r="C348" s="5" t="s">
        <v>611</v>
      </c>
      <c r="D348" s="5" t="str">
        <f t="shared" si="6"/>
        <v>CA_Bambamarquita</v>
      </c>
      <c r="E348" s="7" t="s">
        <v>10</v>
      </c>
      <c r="F348" s="8">
        <v>46043</v>
      </c>
      <c r="G348" s="9" t="s">
        <v>11</v>
      </c>
      <c r="H348" s="7">
        <v>-6.6741400000000004</v>
      </c>
      <c r="I348" s="7">
        <v>-78.527100000000004</v>
      </c>
      <c r="J348" s="7" t="s">
        <v>81</v>
      </c>
      <c r="K348" s="7" t="s">
        <v>450</v>
      </c>
      <c r="L348" s="7" t="s">
        <v>451</v>
      </c>
      <c r="M348" s="10" t="s">
        <v>592</v>
      </c>
      <c r="N348" t="s">
        <v>650</v>
      </c>
      <c r="O348" s="10" t="s">
        <v>653</v>
      </c>
    </row>
    <row r="349" spans="1:15" ht="15.6" x14ac:dyDescent="0.3">
      <c r="A349" s="3">
        <v>349</v>
      </c>
      <c r="B349" s="4" t="s">
        <v>599</v>
      </c>
      <c r="C349" s="5" t="s">
        <v>609</v>
      </c>
      <c r="D349" s="5" t="str">
        <f t="shared" si="6"/>
        <v>CS_LarapaCusco</v>
      </c>
      <c r="E349" s="7" t="s">
        <v>10</v>
      </c>
      <c r="F349" s="8">
        <v>46049</v>
      </c>
      <c r="G349" s="9" t="s">
        <v>354</v>
      </c>
      <c r="H349" s="7">
        <v>-13.5367</v>
      </c>
      <c r="I349" s="7">
        <v>-71.8994</v>
      </c>
      <c r="J349" s="7" t="s">
        <v>26</v>
      </c>
      <c r="K349" s="7" t="s">
        <v>26</v>
      </c>
      <c r="L349" s="7" t="s">
        <v>617</v>
      </c>
      <c r="M349" s="10" t="s">
        <v>592</v>
      </c>
      <c r="N349" t="s">
        <v>649</v>
      </c>
      <c r="O349" s="10" t="s">
        <v>653</v>
      </c>
    </row>
    <row r="350" spans="1:15" ht="15.6" x14ac:dyDescent="0.3">
      <c r="A350" s="3">
        <v>350</v>
      </c>
      <c r="B350" s="4" t="s">
        <v>599</v>
      </c>
      <c r="C350" s="5" t="s">
        <v>603</v>
      </c>
      <c r="D350" s="5" t="str">
        <f t="shared" si="6"/>
        <v>LI_AvenidaEstadio</v>
      </c>
      <c r="E350" s="7" t="s">
        <v>10</v>
      </c>
      <c r="F350" s="8">
        <v>46057</v>
      </c>
      <c r="G350" s="9" t="s">
        <v>354</v>
      </c>
      <c r="H350" s="7">
        <v>-7.7381399999999996</v>
      </c>
      <c r="I350" s="7">
        <v>-79.190799999999996</v>
      </c>
      <c r="J350" s="7" t="s">
        <v>58</v>
      </c>
      <c r="K350" s="7" t="s">
        <v>63</v>
      </c>
      <c r="L350" s="7" t="s">
        <v>614</v>
      </c>
      <c r="M350" s="10" t="s">
        <v>593</v>
      </c>
      <c r="N350" t="s">
        <v>649</v>
      </c>
      <c r="O350" s="10" t="s">
        <v>653</v>
      </c>
    </row>
    <row r="351" spans="1:15" ht="15.6" x14ac:dyDescent="0.3">
      <c r="A351" s="3">
        <v>351</v>
      </c>
      <c r="B351" s="4" t="s">
        <v>599</v>
      </c>
      <c r="C351" s="5" t="s">
        <v>601</v>
      </c>
      <c r="D351" s="5" t="str">
        <f t="shared" ref="D351:D353" si="7">+RIGHT(C351,LEN(C351)-10)</f>
        <v>LM_Batiment</v>
      </c>
      <c r="E351" s="7" t="s">
        <v>10</v>
      </c>
      <c r="F351" s="8">
        <v>46059</v>
      </c>
      <c r="G351" s="9" t="s">
        <v>354</v>
      </c>
      <c r="H351" s="7">
        <v>-11.7347</v>
      </c>
      <c r="I351" s="7">
        <v>-77.152100000000004</v>
      </c>
      <c r="J351" s="7" t="s">
        <v>12</v>
      </c>
      <c r="K351" s="7" t="s">
        <v>12</v>
      </c>
      <c r="L351" s="7" t="s">
        <v>280</v>
      </c>
      <c r="M351" s="10" t="s">
        <v>594</v>
      </c>
      <c r="N351" t="s">
        <v>649</v>
      </c>
      <c r="O351" s="10" t="s">
        <v>653</v>
      </c>
    </row>
    <row r="352" spans="1:15" ht="15.6" x14ac:dyDescent="0.3">
      <c r="A352" s="3">
        <v>352</v>
      </c>
      <c r="B352" s="4" t="s">
        <v>600</v>
      </c>
      <c r="C352" s="5" t="s">
        <v>612</v>
      </c>
      <c r="D352" s="5" t="str">
        <f t="shared" si="7"/>
        <v>AN_SantaIsabelDeHungria</v>
      </c>
      <c r="E352" s="7" t="s">
        <v>10</v>
      </c>
      <c r="F352" s="8">
        <v>46059</v>
      </c>
      <c r="G352" s="9" t="s">
        <v>354</v>
      </c>
      <c r="H352" s="7">
        <v>-9.4695099999999996</v>
      </c>
      <c r="I352" s="7">
        <v>-78.302999999999997</v>
      </c>
      <c r="J352" s="7" t="s">
        <v>122</v>
      </c>
      <c r="K352" s="7" t="s">
        <v>343</v>
      </c>
      <c r="L352" s="7" t="s">
        <v>343</v>
      </c>
      <c r="M352" s="10" t="s">
        <v>593</v>
      </c>
      <c r="N352" t="s">
        <v>649</v>
      </c>
      <c r="O352" s="10" t="s">
        <v>653</v>
      </c>
    </row>
    <row r="353" spans="1:15" ht="15.6" x14ac:dyDescent="0.3">
      <c r="A353" s="3">
        <v>353</v>
      </c>
      <c r="B353" s="4" t="s">
        <v>599</v>
      </c>
      <c r="C353" s="5" t="s">
        <v>607</v>
      </c>
      <c r="D353" s="5" t="str">
        <f t="shared" si="7"/>
        <v>IC_InkaHuasi</v>
      </c>
      <c r="E353" s="7" t="s">
        <v>10</v>
      </c>
      <c r="F353" s="8">
        <v>46062</v>
      </c>
      <c r="G353" s="9" t="s">
        <v>354</v>
      </c>
      <c r="H353" s="7">
        <v>-13.403700000000001</v>
      </c>
      <c r="I353" s="7" t="s">
        <v>641</v>
      </c>
      <c r="J353" s="7" t="s">
        <v>83</v>
      </c>
      <c r="K353" s="7" t="s">
        <v>210</v>
      </c>
      <c r="L353" s="7" t="s">
        <v>169</v>
      </c>
      <c r="M353" s="10" t="s">
        <v>593</v>
      </c>
      <c r="N353" t="s">
        <v>649</v>
      </c>
      <c r="O353" s="10" t="s">
        <v>653</v>
      </c>
    </row>
    <row r="354" spans="1:15" ht="15.6" x14ac:dyDescent="0.3">
      <c r="A354" s="3">
        <v>354</v>
      </c>
      <c r="B354" s="4" t="s">
        <v>599</v>
      </c>
      <c r="C354" s="5" t="s">
        <v>606</v>
      </c>
      <c r="D354" s="5" t="str">
        <f t="shared" ref="D354:D375" si="8">+RIGHT(C354,LEN(C354)-10)</f>
        <v>LM_ElDesierto</v>
      </c>
      <c r="E354" s="7" t="s">
        <v>10</v>
      </c>
      <c r="F354" s="8">
        <v>46069</v>
      </c>
      <c r="G354" s="9" t="s">
        <v>354</v>
      </c>
      <c r="H354" s="7">
        <v>-13.0793</v>
      </c>
      <c r="I354" s="7">
        <v>-76.288799999999995</v>
      </c>
      <c r="J354" s="7" t="s">
        <v>12</v>
      </c>
      <c r="K354" s="7" t="s">
        <v>16</v>
      </c>
      <c r="L354" s="7" t="s">
        <v>615</v>
      </c>
      <c r="M354" s="10" t="s">
        <v>594</v>
      </c>
      <c r="N354" t="s">
        <v>649</v>
      </c>
      <c r="O354" s="10" t="s">
        <v>653</v>
      </c>
    </row>
    <row r="355" spans="1:15" ht="15.6" x14ac:dyDescent="0.3">
      <c r="A355" s="3">
        <v>355</v>
      </c>
      <c r="B355" s="4" t="s">
        <v>599</v>
      </c>
      <c r="C355" s="5" t="s">
        <v>620</v>
      </c>
      <c r="D355" s="5" t="str">
        <f t="shared" si="8"/>
        <v>LM_Chacon</v>
      </c>
      <c r="E355" s="7" t="s">
        <v>10</v>
      </c>
      <c r="F355" s="8">
        <v>46079</v>
      </c>
      <c r="G355" s="9" t="s">
        <v>11</v>
      </c>
      <c r="H355" s="7">
        <v>-12.1576</v>
      </c>
      <c r="I355" s="7">
        <v>-76.911100000000005</v>
      </c>
      <c r="J355" s="7" t="s">
        <v>12</v>
      </c>
      <c r="K355" s="7" t="s">
        <v>12</v>
      </c>
      <c r="L355" s="7" t="s">
        <v>434</v>
      </c>
      <c r="M355" s="10" t="s">
        <v>594</v>
      </c>
      <c r="N355" t="s">
        <v>649</v>
      </c>
      <c r="O355" s="10" t="s">
        <v>653</v>
      </c>
    </row>
    <row r="356" spans="1:15" ht="15.6" x14ac:dyDescent="0.3">
      <c r="A356" s="3">
        <v>356</v>
      </c>
      <c r="B356" s="4" t="s">
        <v>599</v>
      </c>
      <c r="C356" s="5" t="s">
        <v>621</v>
      </c>
      <c r="D356" s="5" t="str">
        <f t="shared" si="8"/>
        <v>LO_Iberia</v>
      </c>
      <c r="E356" s="7" t="s">
        <v>10</v>
      </c>
      <c r="F356" s="8">
        <v>46087</v>
      </c>
      <c r="G356" s="9" t="s">
        <v>11</v>
      </c>
      <c r="H356" s="7">
        <v>-3.7862300000000002</v>
      </c>
      <c r="I356" s="7">
        <v>-73.300200000000004</v>
      </c>
      <c r="J356" s="7" t="s">
        <v>134</v>
      </c>
      <c r="K356" s="7" t="s">
        <v>135</v>
      </c>
      <c r="L356" s="7" t="s">
        <v>39</v>
      </c>
      <c r="M356" s="10" t="s">
        <v>596</v>
      </c>
      <c r="N356" t="s">
        <v>649</v>
      </c>
      <c r="O356" s="10" t="s">
        <v>653</v>
      </c>
    </row>
    <row r="357" spans="1:15" ht="15.6" x14ac:dyDescent="0.3">
      <c r="A357" s="3">
        <v>357</v>
      </c>
      <c r="B357" s="4" t="s">
        <v>599</v>
      </c>
      <c r="C357" s="5" t="s">
        <v>622</v>
      </c>
      <c r="D357" s="5" t="str">
        <f t="shared" si="8"/>
        <v>CA_MosquetaMollepampa</v>
      </c>
      <c r="E357" s="7" t="s">
        <v>10</v>
      </c>
      <c r="F357" s="8">
        <v>46087</v>
      </c>
      <c r="G357" s="9" t="s">
        <v>11</v>
      </c>
      <c r="H357" s="7">
        <v>-7.17875</v>
      </c>
      <c r="I357" s="7">
        <v>-78.490499999999997</v>
      </c>
      <c r="J357" s="7" t="s">
        <v>81</v>
      </c>
      <c r="K357" s="7" t="s">
        <v>81</v>
      </c>
      <c r="L357" s="7" t="s">
        <v>81</v>
      </c>
      <c r="M357" s="10" t="s">
        <v>592</v>
      </c>
      <c r="N357" t="s">
        <v>649</v>
      </c>
      <c r="O357" s="10" t="s">
        <v>653</v>
      </c>
    </row>
    <row r="358" spans="1:15" ht="15.6" x14ac:dyDescent="0.3">
      <c r="A358" s="3">
        <v>358</v>
      </c>
      <c r="B358" s="4" t="s">
        <v>599</v>
      </c>
      <c r="C358" s="5" t="s">
        <v>623</v>
      </c>
      <c r="D358" s="5" t="str">
        <f t="shared" si="8"/>
        <v>IC_PlazaCajuca</v>
      </c>
      <c r="E358" s="7" t="s">
        <v>10</v>
      </c>
      <c r="F358" s="8">
        <v>46089</v>
      </c>
      <c r="G358" s="9" t="s">
        <v>11</v>
      </c>
      <c r="H358" s="7">
        <v>-14.838699999999999</v>
      </c>
      <c r="I358" s="7">
        <v>-74.922799999999995</v>
      </c>
      <c r="J358" s="7" t="s">
        <v>83</v>
      </c>
      <c r="K358" s="7" t="s">
        <v>331</v>
      </c>
      <c r="L358" s="7" t="s">
        <v>331</v>
      </c>
      <c r="M358" s="10" t="s">
        <v>593</v>
      </c>
      <c r="N358" t="s">
        <v>649</v>
      </c>
      <c r="O358" s="10" t="s">
        <v>653</v>
      </c>
    </row>
    <row r="359" spans="1:15" ht="15.6" x14ac:dyDescent="0.3">
      <c r="A359" s="3">
        <v>359</v>
      </c>
      <c r="B359" s="4" t="s">
        <v>599</v>
      </c>
      <c r="C359" s="5" t="s">
        <v>624</v>
      </c>
      <c r="D359" s="5" t="str">
        <f t="shared" si="8"/>
        <v>LO_IglesiaDelNazareno</v>
      </c>
      <c r="E359" s="7" t="s">
        <v>10</v>
      </c>
      <c r="F359" s="8">
        <v>46092</v>
      </c>
      <c r="G359" s="9" t="s">
        <v>11</v>
      </c>
      <c r="H359" s="7">
        <v>-3.79068</v>
      </c>
      <c r="I359" s="7">
        <v>-73.291799999999995</v>
      </c>
      <c r="J359" s="7" t="s">
        <v>134</v>
      </c>
      <c r="K359" s="7" t="s">
        <v>135</v>
      </c>
      <c r="L359" s="7" t="s">
        <v>39</v>
      </c>
      <c r="M359" s="10" t="s">
        <v>596</v>
      </c>
      <c r="N359" t="s">
        <v>649</v>
      </c>
      <c r="O359" s="10" t="s">
        <v>653</v>
      </c>
    </row>
    <row r="360" spans="1:15" ht="15.6" x14ac:dyDescent="0.3">
      <c r="A360" s="3">
        <v>360</v>
      </c>
      <c r="B360" s="4" t="s">
        <v>599</v>
      </c>
      <c r="C360" s="5" t="s">
        <v>625</v>
      </c>
      <c r="D360" s="5" t="str">
        <f t="shared" si="8"/>
        <v>CA_UtcoCelendin</v>
      </c>
      <c r="E360" s="7" t="s">
        <v>10</v>
      </c>
      <c r="F360" s="8">
        <v>46100</v>
      </c>
      <c r="G360" s="9" t="s">
        <v>11</v>
      </c>
      <c r="H360" s="7">
        <v>-6.8713800000000003</v>
      </c>
      <c r="I360" s="7">
        <v>-78.114400000000003</v>
      </c>
      <c r="J360" s="7" t="s">
        <v>81</v>
      </c>
      <c r="K360" s="7" t="s">
        <v>266</v>
      </c>
      <c r="L360" s="7" t="s">
        <v>642</v>
      </c>
      <c r="M360" s="10" t="s">
        <v>592</v>
      </c>
      <c r="N360" t="s">
        <v>649</v>
      </c>
      <c r="O360" s="10" t="s">
        <v>653</v>
      </c>
    </row>
    <row r="361" spans="1:15" ht="15.6" x14ac:dyDescent="0.3">
      <c r="A361" s="3">
        <v>361</v>
      </c>
      <c r="B361" s="4" t="s">
        <v>599</v>
      </c>
      <c r="C361" s="5" t="s">
        <v>626</v>
      </c>
      <c r="D361" s="5" t="str">
        <f t="shared" si="8"/>
        <v>CS_VillaSanSebastian</v>
      </c>
      <c r="E361" s="7" t="s">
        <v>10</v>
      </c>
      <c r="F361" s="8">
        <v>46100</v>
      </c>
      <c r="G361" s="9" t="s">
        <v>11</v>
      </c>
      <c r="H361" s="7">
        <v>-13.5261</v>
      </c>
      <c r="I361" s="7">
        <v>-71.930000000000007</v>
      </c>
      <c r="J361" s="7" t="s">
        <v>26</v>
      </c>
      <c r="K361" s="7" t="s">
        <v>26</v>
      </c>
      <c r="L361" s="7" t="s">
        <v>174</v>
      </c>
      <c r="M361" s="10" t="s">
        <v>592</v>
      </c>
      <c r="N361" t="s">
        <v>649</v>
      </c>
      <c r="O361" s="10" t="s">
        <v>653</v>
      </c>
    </row>
    <row r="362" spans="1:15" ht="15.6" x14ac:dyDescent="0.3">
      <c r="A362" s="3">
        <v>362</v>
      </c>
      <c r="B362" s="4" t="s">
        <v>599</v>
      </c>
      <c r="C362" s="5" t="s">
        <v>627</v>
      </c>
      <c r="D362" s="5" t="str">
        <f t="shared" si="8"/>
        <v>AQ_VirgenCopacabana</v>
      </c>
      <c r="E362" s="7" t="s">
        <v>10</v>
      </c>
      <c r="F362" s="8">
        <v>46107</v>
      </c>
      <c r="G362" s="9" t="s">
        <v>11</v>
      </c>
      <c r="H362" s="7">
        <v>-16.3614</v>
      </c>
      <c r="I362" s="7">
        <v>-71.618200000000002</v>
      </c>
      <c r="J362" s="7" t="s">
        <v>20</v>
      </c>
      <c r="K362" s="7" t="s">
        <v>20</v>
      </c>
      <c r="L362" s="7" t="s">
        <v>21</v>
      </c>
      <c r="M362" s="10" t="s">
        <v>592</v>
      </c>
      <c r="N362" t="s">
        <v>649</v>
      </c>
      <c r="O362" s="10" t="s">
        <v>653</v>
      </c>
    </row>
    <row r="363" spans="1:15" ht="15.6" x14ac:dyDescent="0.3">
      <c r="A363" s="3">
        <v>363</v>
      </c>
      <c r="B363" s="4" t="s">
        <v>599</v>
      </c>
      <c r="C363" s="5" t="s">
        <v>628</v>
      </c>
      <c r="D363" s="5" t="str">
        <f t="shared" si="8"/>
        <v>LM_AvMediaLuna</v>
      </c>
      <c r="E363" s="7" t="s">
        <v>10</v>
      </c>
      <c r="F363" s="8">
        <v>46113</v>
      </c>
      <c r="G363" s="9" t="s">
        <v>11</v>
      </c>
      <c r="H363" s="7">
        <v>-11.978999999999999</v>
      </c>
      <c r="I363" s="7">
        <v>-76.926400000000001</v>
      </c>
      <c r="J363" s="7" t="s">
        <v>12</v>
      </c>
      <c r="K363" s="7" t="s">
        <v>12</v>
      </c>
      <c r="L363" s="7" t="s">
        <v>67</v>
      </c>
      <c r="M363" s="10" t="s">
        <v>594</v>
      </c>
      <c r="N363" t="s">
        <v>649</v>
      </c>
      <c r="O363" s="10" t="s">
        <v>653</v>
      </c>
    </row>
    <row r="364" spans="1:15" ht="15.6" x14ac:dyDescent="0.3">
      <c r="A364" s="3">
        <v>364</v>
      </c>
      <c r="B364" s="4" t="s">
        <v>599</v>
      </c>
      <c r="C364" s="5" t="s">
        <v>629</v>
      </c>
      <c r="D364" s="5" t="str">
        <f t="shared" si="8"/>
        <v>TU_ParqueDelSalitre</v>
      </c>
      <c r="E364" s="7" t="s">
        <v>10</v>
      </c>
      <c r="F364" s="8">
        <v>46118</v>
      </c>
      <c r="G364" s="9" t="s">
        <v>11</v>
      </c>
      <c r="H364" s="7">
        <v>-3.55592</v>
      </c>
      <c r="I364" s="7">
        <v>-80.448499999999996</v>
      </c>
      <c r="J364" s="7" t="s">
        <v>643</v>
      </c>
      <c r="K364" s="7" t="s">
        <v>643</v>
      </c>
      <c r="L364" s="7" t="s">
        <v>643</v>
      </c>
      <c r="M364" s="10" t="s">
        <v>595</v>
      </c>
      <c r="N364" t="s">
        <v>649</v>
      </c>
      <c r="O364" s="10" t="s">
        <v>653</v>
      </c>
    </row>
    <row r="365" spans="1:15" ht="15.6" x14ac:dyDescent="0.3">
      <c r="A365" s="3">
        <v>365</v>
      </c>
      <c r="B365" s="4" t="s">
        <v>599</v>
      </c>
      <c r="C365" s="5" t="s">
        <v>630</v>
      </c>
      <c r="D365" s="5" t="str">
        <f t="shared" si="8"/>
        <v>PN_Torocha</v>
      </c>
      <c r="E365" s="7" t="s">
        <v>10</v>
      </c>
      <c r="F365" s="8">
        <v>46119</v>
      </c>
      <c r="G365" s="9" t="s">
        <v>11</v>
      </c>
      <c r="H365" s="7">
        <v>-15.487500000000001</v>
      </c>
      <c r="I365" s="7">
        <v>-70.106899999999996</v>
      </c>
      <c r="J365" s="7" t="s">
        <v>126</v>
      </c>
      <c r="K365" s="7" t="s">
        <v>128</v>
      </c>
      <c r="L365" s="7" t="s">
        <v>129</v>
      </c>
      <c r="M365" s="10" t="s">
        <v>592</v>
      </c>
      <c r="N365" t="s">
        <v>649</v>
      </c>
      <c r="O365" s="10" t="s">
        <v>653</v>
      </c>
    </row>
    <row r="366" spans="1:15" ht="15.6" x14ac:dyDescent="0.3">
      <c r="A366" s="3">
        <v>366</v>
      </c>
      <c r="B366" s="4" t="s">
        <v>599</v>
      </c>
      <c r="C366" s="5" t="s">
        <v>631</v>
      </c>
      <c r="D366" s="5" t="str">
        <f t="shared" si="8"/>
        <v>IC_Massaro</v>
      </c>
      <c r="E366" s="7" t="s">
        <v>10</v>
      </c>
      <c r="F366" s="8">
        <v>46119</v>
      </c>
      <c r="G366" s="9" t="s">
        <v>11</v>
      </c>
      <c r="H366" s="7">
        <v>-13.422000000000001</v>
      </c>
      <c r="I366" s="7">
        <v>-76.128299999999996</v>
      </c>
      <c r="J366" s="7" t="s">
        <v>83</v>
      </c>
      <c r="K366" s="7" t="s">
        <v>210</v>
      </c>
      <c r="L366" s="7" t="s">
        <v>482</v>
      </c>
      <c r="M366" s="10" t="s">
        <v>593</v>
      </c>
      <c r="N366" t="s">
        <v>649</v>
      </c>
      <c r="O366" s="10" t="s">
        <v>653</v>
      </c>
    </row>
    <row r="367" spans="1:15" ht="15.6" x14ac:dyDescent="0.3">
      <c r="A367" s="3">
        <v>367</v>
      </c>
      <c r="B367" s="4" t="s">
        <v>599</v>
      </c>
      <c r="C367" s="5" t="s">
        <v>632</v>
      </c>
      <c r="D367" s="5" t="str">
        <f t="shared" si="8"/>
        <v>PI_CerroRucutuyu</v>
      </c>
      <c r="E367" s="7" t="s">
        <v>10</v>
      </c>
      <c r="F367" s="8">
        <v>46119</v>
      </c>
      <c r="G367" s="9" t="s">
        <v>11</v>
      </c>
      <c r="H367" s="7">
        <v>-5.0163399999999996</v>
      </c>
      <c r="I367" s="7">
        <v>-79.865799999999993</v>
      </c>
      <c r="J367" s="7" t="s">
        <v>53</v>
      </c>
      <c r="K367" s="7" t="s">
        <v>164</v>
      </c>
      <c r="L367" s="7" t="s">
        <v>644</v>
      </c>
      <c r="M367" s="10" t="s">
        <v>593</v>
      </c>
      <c r="N367" t="s">
        <v>649</v>
      </c>
      <c r="O367" s="10" t="s">
        <v>653</v>
      </c>
    </row>
    <row r="368" spans="1:15" ht="15.6" x14ac:dyDescent="0.3">
      <c r="A368" s="3">
        <v>368</v>
      </c>
      <c r="B368" s="4" t="s">
        <v>599</v>
      </c>
      <c r="C368" s="5" t="s">
        <v>633</v>
      </c>
      <c r="D368" s="5" t="str">
        <f t="shared" si="8"/>
        <v>TU_EscuelaDePoliciaTumbes</v>
      </c>
      <c r="E368" s="7" t="s">
        <v>10</v>
      </c>
      <c r="F368" s="8">
        <v>46119</v>
      </c>
      <c r="G368" s="9" t="s">
        <v>11</v>
      </c>
      <c r="H368" s="7">
        <v>-3.5569600000000001</v>
      </c>
      <c r="I368" s="7">
        <v>-80.431899999999999</v>
      </c>
      <c r="J368" s="7" t="s">
        <v>643</v>
      </c>
      <c r="K368" s="7" t="s">
        <v>643</v>
      </c>
      <c r="L368" s="7" t="s">
        <v>643</v>
      </c>
      <c r="M368" s="10" t="s">
        <v>595</v>
      </c>
      <c r="N368" t="s">
        <v>649</v>
      </c>
      <c r="O368" s="10" t="s">
        <v>653</v>
      </c>
    </row>
    <row r="369" spans="1:15" ht="15.6" x14ac:dyDescent="0.3">
      <c r="A369" s="3">
        <v>369</v>
      </c>
      <c r="B369" s="4" t="s">
        <v>599</v>
      </c>
      <c r="C369" s="5" t="s">
        <v>634</v>
      </c>
      <c r="D369" s="5" t="str">
        <f t="shared" si="8"/>
        <v>PI_Unimar</v>
      </c>
      <c r="E369" s="7" t="s">
        <v>10</v>
      </c>
      <c r="F369" s="8">
        <v>46119</v>
      </c>
      <c r="G369" s="9" t="s">
        <v>11</v>
      </c>
      <c r="H369" s="7">
        <v>-5.0794699999999997</v>
      </c>
      <c r="I369" s="7">
        <v>-81.0762</v>
      </c>
      <c r="J369" s="7" t="s">
        <v>53</v>
      </c>
      <c r="K369" s="7" t="s">
        <v>645</v>
      </c>
      <c r="L369" s="7" t="s">
        <v>645</v>
      </c>
      <c r="M369" s="10" t="s">
        <v>593</v>
      </c>
      <c r="N369" t="s">
        <v>649</v>
      </c>
      <c r="O369" s="10" t="s">
        <v>653</v>
      </c>
    </row>
    <row r="370" spans="1:15" ht="15.6" x14ac:dyDescent="0.3">
      <c r="A370" s="3">
        <v>370</v>
      </c>
      <c r="B370" s="4" t="s">
        <v>599</v>
      </c>
      <c r="C370" s="5" t="s">
        <v>635</v>
      </c>
      <c r="D370" s="5" t="str">
        <f t="shared" si="8"/>
        <v>IC_TradicionIquena</v>
      </c>
      <c r="E370" s="7" t="s">
        <v>10</v>
      </c>
      <c r="F370" s="8">
        <v>46119</v>
      </c>
      <c r="G370" s="9" t="s">
        <v>11</v>
      </c>
      <c r="H370" s="7">
        <v>-14.0063</v>
      </c>
      <c r="I370" s="7">
        <v>-75.764600000000002</v>
      </c>
      <c r="J370" s="7" t="s">
        <v>83</v>
      </c>
      <c r="K370" s="7" t="s">
        <v>83</v>
      </c>
      <c r="L370" s="7" t="s">
        <v>84</v>
      </c>
      <c r="M370" s="10" t="s">
        <v>593</v>
      </c>
      <c r="N370" t="s">
        <v>649</v>
      </c>
      <c r="O370" s="10" t="s">
        <v>653</v>
      </c>
    </row>
    <row r="371" spans="1:15" ht="15.6" x14ac:dyDescent="0.3">
      <c r="A371" s="3">
        <v>371</v>
      </c>
      <c r="B371" s="4" t="s">
        <v>599</v>
      </c>
      <c r="C371" s="5" t="s">
        <v>636</v>
      </c>
      <c r="D371" s="5" t="str">
        <f t="shared" si="8"/>
        <v>TU_Pasamayo</v>
      </c>
      <c r="E371" s="7" t="s">
        <v>10</v>
      </c>
      <c r="F371" s="8">
        <v>46119</v>
      </c>
      <c r="G371" s="9" t="s">
        <v>11</v>
      </c>
      <c r="H371" s="7">
        <v>-3.58013</v>
      </c>
      <c r="I371" s="7">
        <v>-80.414699999999996</v>
      </c>
      <c r="J371" s="7" t="s">
        <v>643</v>
      </c>
      <c r="K371" s="7" t="s">
        <v>643</v>
      </c>
      <c r="L371" s="7" t="s">
        <v>643</v>
      </c>
      <c r="M371" s="10" t="s">
        <v>595</v>
      </c>
      <c r="N371" t="s">
        <v>649</v>
      </c>
      <c r="O371" s="10" t="s">
        <v>653</v>
      </c>
    </row>
    <row r="372" spans="1:15" ht="15.6" x14ac:dyDescent="0.3">
      <c r="A372" s="3">
        <v>372</v>
      </c>
      <c r="B372" s="4" t="s">
        <v>599</v>
      </c>
      <c r="C372" s="5" t="s">
        <v>637</v>
      </c>
      <c r="D372" s="5" t="str">
        <f t="shared" si="8"/>
        <v>PN_ResidencialJuliacaAeropuerto</v>
      </c>
      <c r="E372" s="7" t="s">
        <v>10</v>
      </c>
      <c r="F372" s="8">
        <v>46120</v>
      </c>
      <c r="G372" s="9" t="s">
        <v>11</v>
      </c>
      <c r="H372" s="7">
        <v>-15.473599999999999</v>
      </c>
      <c r="I372" s="7">
        <v>-70.150599999999997</v>
      </c>
      <c r="J372" s="7" t="s">
        <v>126</v>
      </c>
      <c r="K372" s="7" t="s">
        <v>128</v>
      </c>
      <c r="L372" s="7" t="s">
        <v>129</v>
      </c>
      <c r="M372" s="10" t="s">
        <v>592</v>
      </c>
      <c r="N372" t="s">
        <v>649</v>
      </c>
      <c r="O372" s="10" t="s">
        <v>653</v>
      </c>
    </row>
    <row r="373" spans="1:15" ht="15.6" x14ac:dyDescent="0.3">
      <c r="A373" s="3">
        <v>373</v>
      </c>
      <c r="B373" s="4" t="s">
        <v>599</v>
      </c>
      <c r="C373" s="5" t="s">
        <v>638</v>
      </c>
      <c r="D373" s="5" t="str">
        <f t="shared" si="8"/>
        <v>LM_PuestoDeSaludBuenosAires</v>
      </c>
      <c r="E373" s="7" t="s">
        <v>10</v>
      </c>
      <c r="F373" s="8">
        <v>46120</v>
      </c>
      <c r="G373" s="9" t="s">
        <v>11</v>
      </c>
      <c r="H373" s="7">
        <v>-10.6953</v>
      </c>
      <c r="I373" s="7">
        <v>-77.773799999999994</v>
      </c>
      <c r="J373" s="7" t="s">
        <v>12</v>
      </c>
      <c r="K373" s="7" t="s">
        <v>153</v>
      </c>
      <c r="L373" s="7" t="s">
        <v>646</v>
      </c>
      <c r="M373" s="10" t="s">
        <v>594</v>
      </c>
      <c r="N373" t="s">
        <v>649</v>
      </c>
      <c r="O373" s="10" t="s">
        <v>653</v>
      </c>
    </row>
    <row r="374" spans="1:15" ht="15.6" x14ac:dyDescent="0.3">
      <c r="A374" s="3">
        <v>374</v>
      </c>
      <c r="B374" s="4" t="s">
        <v>599</v>
      </c>
      <c r="C374" s="5" t="s">
        <v>639</v>
      </c>
      <c r="D374" s="5" t="str">
        <f t="shared" si="8"/>
        <v>IC_Guayabo</v>
      </c>
      <c r="E374" s="7" t="s">
        <v>10</v>
      </c>
      <c r="F374" s="8">
        <v>46121</v>
      </c>
      <c r="G374" s="9" t="s">
        <v>11</v>
      </c>
      <c r="H374" s="7">
        <v>-14.065</v>
      </c>
      <c r="I374" s="7">
        <v>-75.766900000000007</v>
      </c>
      <c r="J374" s="7" t="s">
        <v>83</v>
      </c>
      <c r="K374" s="7" t="s">
        <v>83</v>
      </c>
      <c r="L374" s="7" t="s">
        <v>83</v>
      </c>
      <c r="M374" s="10" t="s">
        <v>593</v>
      </c>
      <c r="N374" t="s">
        <v>649</v>
      </c>
      <c r="O374" s="10" t="s">
        <v>653</v>
      </c>
    </row>
    <row r="375" spans="1:15" ht="15.6" x14ac:dyDescent="0.3">
      <c r="A375" s="3">
        <v>375</v>
      </c>
      <c r="B375" s="4" t="s">
        <v>599</v>
      </c>
      <c r="C375" s="5" t="s">
        <v>640</v>
      </c>
      <c r="D375" s="5" t="str">
        <f t="shared" si="8"/>
        <v>MQ_PampaMiramar</v>
      </c>
      <c r="E375" s="7" t="s">
        <v>10</v>
      </c>
      <c r="F375" s="8">
        <v>46122</v>
      </c>
      <c r="G375" s="9" t="s">
        <v>11</v>
      </c>
      <c r="H375" s="7">
        <v>-17.635300000000001</v>
      </c>
      <c r="I375" s="7">
        <v>-71.323800000000006</v>
      </c>
      <c r="J375" s="7" t="s">
        <v>647</v>
      </c>
      <c r="K375" s="7" t="s">
        <v>648</v>
      </c>
      <c r="L375" s="7" t="s">
        <v>648</v>
      </c>
      <c r="M375" s="10" t="s">
        <v>596</v>
      </c>
      <c r="N375" t="s">
        <v>649</v>
      </c>
      <c r="O375" s="10" t="s">
        <v>653</v>
      </c>
    </row>
  </sheetData>
  <autoFilter ref="A1:O375" xr:uid="{62FBC65E-14EF-4E55-93FC-E31F4273093C}"/>
  <conditionalFormatting sqref="C249">
    <cfRule type="duplicateValues" dxfId="15" priority="16"/>
    <cfRule type="duplicateValues" dxfId="14" priority="17"/>
    <cfRule type="duplicateValues" dxfId="13" priority="18"/>
    <cfRule type="duplicateValues" dxfId="12" priority="19"/>
  </conditionalFormatting>
  <conditionalFormatting sqref="C1:D375">
    <cfRule type="duplicateValues" dxfId="11" priority="39"/>
  </conditionalFormatting>
  <conditionalFormatting sqref="J89">
    <cfRule type="duplicateValues" dxfId="10" priority="9"/>
  </conditionalFormatting>
  <conditionalFormatting sqref="J92">
    <cfRule type="duplicateValues" dxfId="9" priority="6"/>
  </conditionalFormatting>
  <conditionalFormatting sqref="J94">
    <cfRule type="duplicateValues" dxfId="8" priority="4"/>
  </conditionalFormatting>
  <conditionalFormatting sqref="J86:L87">
    <cfRule type="duplicateValues" dxfId="7" priority="11"/>
  </conditionalFormatting>
  <conditionalFormatting sqref="J88:L88">
    <cfRule type="duplicateValues" dxfId="6" priority="10"/>
  </conditionalFormatting>
  <conditionalFormatting sqref="K89:K93 K95:K96">
    <cfRule type="duplicateValues" dxfId="5" priority="8"/>
  </conditionalFormatting>
  <conditionalFormatting sqref="K94">
    <cfRule type="duplicateValues" dxfId="4" priority="3"/>
  </conditionalFormatting>
  <conditionalFormatting sqref="L89:L91">
    <cfRule type="duplicateValues" dxfId="3" priority="7"/>
  </conditionalFormatting>
  <conditionalFormatting sqref="L93">
    <cfRule type="duplicateValues" dxfId="2" priority="5"/>
  </conditionalFormatting>
  <conditionalFormatting sqref="L95">
    <cfRule type="duplicateValues" dxfId="1" priority="2"/>
  </conditionalFormatting>
  <conditionalFormatting sqref="L9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Lazo Cristobal Carlos Eduardo</dc:creator>
  <cp:lastModifiedBy>Hector Peña Andagua</cp:lastModifiedBy>
  <dcterms:created xsi:type="dcterms:W3CDTF">2026-01-07T20:16:59Z</dcterms:created>
  <dcterms:modified xsi:type="dcterms:W3CDTF">2026-05-14T00:07:03Z</dcterms:modified>
</cp:coreProperties>
</file>